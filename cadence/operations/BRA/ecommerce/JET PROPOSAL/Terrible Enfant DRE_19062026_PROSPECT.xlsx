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ttecnologia-my.sharepoint.com/personal/rodrigo_amaral_jet_com_br/Documents/00. SERVIÇO PROFISSIONAL JET/00. Propostas SP/LOJISTA NOVO CLIENTE/Terrible Enfant/"/>
    </mc:Choice>
  </mc:AlternateContent>
  <xr:revisionPtr revIDLastSave="175" documentId="8_{1278541B-B43B-4FFF-8B3F-2873973611CD}" xr6:coauthVersionLast="47" xr6:coauthVersionMax="47" xr10:uidLastSave="{0F493742-9B52-424E-B3CF-FBFC9114F9ED}"/>
  <bookViews>
    <workbookView xWindow="-120" yWindow="-120" windowWidth="29040" windowHeight="15720" xr2:uid="{00000000-000D-0000-FFFF-FFFF00000000}"/>
  </bookViews>
  <sheets>
    <sheet name="BP Resumido _ Cenario- Terrible" sheetId="2" r:id="rId1"/>
    <sheet name="DADOS PRELIMINARES" sheetId="3" r:id="rId2"/>
    <sheet name="BP Resumido _ Cenario 1" sheetId="1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2" l="1"/>
  <c r="F46" i="2"/>
  <c r="G40" i="2"/>
  <c r="H40" i="2" s="1"/>
  <c r="H39" i="2" s="1"/>
  <c r="F39" i="2"/>
  <c r="F5" i="2" s="1"/>
  <c r="G34" i="2"/>
  <c r="H34" i="2" s="1"/>
  <c r="G32" i="2"/>
  <c r="H32" i="2" s="1"/>
  <c r="I32" i="2" s="1"/>
  <c r="J32" i="2" s="1"/>
  <c r="K32" i="2" s="1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AF32" i="2" s="1"/>
  <c r="AG32" i="2" s="1"/>
  <c r="AH32" i="2" s="1"/>
  <c r="AI32" i="2" s="1"/>
  <c r="AJ32" i="2" s="1"/>
  <c r="AK32" i="2" s="1"/>
  <c r="AL32" i="2" s="1"/>
  <c r="AM32" i="2" s="1"/>
  <c r="AN32" i="2" s="1"/>
  <c r="AO32" i="2" s="1"/>
  <c r="AR21" i="2"/>
  <c r="AV21" i="2" s="1"/>
  <c r="AQ21" i="2"/>
  <c r="AU21" i="2" s="1"/>
  <c r="AP21" i="2"/>
  <c r="AT21" i="2" s="1"/>
  <c r="G20" i="2"/>
  <c r="H20" i="2" s="1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G19" i="2"/>
  <c r="G18" i="2"/>
  <c r="G4" i="2" s="1"/>
  <c r="F18" i="2"/>
  <c r="F4" i="2" s="1"/>
  <c r="F17" i="2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E9" i="2"/>
  <c r="F2" i="2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H20" i="1"/>
  <c r="AG20" i="1"/>
  <c r="AF20" i="1"/>
  <c r="AE20" i="1"/>
  <c r="AD20" i="1"/>
  <c r="AC20" i="1"/>
  <c r="T20" i="1"/>
  <c r="U20" i="1" s="1"/>
  <c r="V20" i="1" s="1"/>
  <c r="W20" i="1" s="1"/>
  <c r="X20" i="1" s="1"/>
  <c r="Y20" i="1" s="1"/>
  <c r="Z20" i="1" s="1"/>
  <c r="AA20" i="1" s="1"/>
  <c r="AB20" i="1" s="1"/>
  <c r="S20" i="1"/>
  <c r="R20" i="1"/>
  <c r="J20" i="1"/>
  <c r="K20" i="1" s="1"/>
  <c r="L20" i="1" s="1"/>
  <c r="M20" i="1" s="1"/>
  <c r="N20" i="1" s="1"/>
  <c r="O20" i="1" s="1"/>
  <c r="P20" i="1" s="1"/>
  <c r="Q20" i="1" s="1"/>
  <c r="Q18" i="1" s="1"/>
  <c r="I20" i="1"/>
  <c r="H20" i="1"/>
  <c r="G20" i="1"/>
  <c r="S19" i="1"/>
  <c r="S18" i="1" s="1"/>
  <c r="R19" i="1"/>
  <c r="Q19" i="1"/>
  <c r="I19" i="1"/>
  <c r="I18" i="1" s="1"/>
  <c r="H19" i="1"/>
  <c r="G50" i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G49" i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H48" i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G47" i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G51" i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G40" i="1"/>
  <c r="H40" i="1" s="1"/>
  <c r="I40" i="1" s="1"/>
  <c r="G19" i="1"/>
  <c r="G34" i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F57" i="1"/>
  <c r="G61" i="1" s="1"/>
  <c r="F46" i="1"/>
  <c r="F6" i="1" s="1"/>
  <c r="F23" i="1" s="1"/>
  <c r="F39" i="1"/>
  <c r="F5" i="1" s="1"/>
  <c r="G32" i="1"/>
  <c r="H32" i="1" s="1"/>
  <c r="I32" i="1" s="1"/>
  <c r="J32" i="1" s="1"/>
  <c r="K32" i="1" s="1"/>
  <c r="L32" i="1" s="1"/>
  <c r="AV21" i="1"/>
  <c r="AU21" i="1"/>
  <c r="AR21" i="1"/>
  <c r="AQ21" i="1"/>
  <c r="AP21" i="1"/>
  <c r="AT21" i="1" s="1"/>
  <c r="AG18" i="1"/>
  <c r="AF18" i="1"/>
  <c r="R18" i="1"/>
  <c r="F18" i="1"/>
  <c r="F4" i="1" s="1"/>
  <c r="F36" i="1" s="1"/>
  <c r="F17" i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E9" i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H5" i="2" l="1"/>
  <c r="I34" i="2"/>
  <c r="J34" i="2" s="1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AG34" i="2" s="1"/>
  <c r="AH34" i="2" s="1"/>
  <c r="AI34" i="2" s="1"/>
  <c r="AJ34" i="2" s="1"/>
  <c r="AK34" i="2" s="1"/>
  <c r="AL34" i="2" s="1"/>
  <c r="AM34" i="2" s="1"/>
  <c r="AN34" i="2" s="1"/>
  <c r="AO34" i="2" s="1"/>
  <c r="G39" i="2"/>
  <c r="G5" i="2" s="1"/>
  <c r="G22" i="2" s="1"/>
  <c r="S17" i="2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W21" i="2"/>
  <c r="F6" i="2"/>
  <c r="S20" i="2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F36" i="2"/>
  <c r="F22" i="2"/>
  <c r="AP17" i="2"/>
  <c r="AP20" i="2"/>
  <c r="AS21" i="2"/>
  <c r="H19" i="2"/>
  <c r="I40" i="2"/>
  <c r="G50" i="2"/>
  <c r="G47" i="2"/>
  <c r="G49" i="2"/>
  <c r="H51" i="2"/>
  <c r="AI20" i="1"/>
  <c r="AH18" i="1"/>
  <c r="AP20" i="1"/>
  <c r="AT20" i="1" s="1"/>
  <c r="H18" i="1"/>
  <c r="H4" i="1" s="1"/>
  <c r="T19" i="1"/>
  <c r="J19" i="1"/>
  <c r="K19" i="1" s="1"/>
  <c r="L19" i="1" s="1"/>
  <c r="M19" i="1" s="1"/>
  <c r="N19" i="1" s="1"/>
  <c r="O19" i="1" s="1"/>
  <c r="P19" i="1" s="1"/>
  <c r="AP51" i="1"/>
  <c r="G18" i="1"/>
  <c r="G4" i="1" s="1"/>
  <c r="F3" i="1"/>
  <c r="I4" i="1"/>
  <c r="M32" i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S17" i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P17" i="1"/>
  <c r="AI34" i="1"/>
  <c r="AW21" i="1"/>
  <c r="F22" i="1"/>
  <c r="AP49" i="1"/>
  <c r="F43" i="1"/>
  <c r="F44" i="1" s="1"/>
  <c r="F37" i="1"/>
  <c r="AS21" i="1"/>
  <c r="J40" i="1"/>
  <c r="K40" i="1" s="1"/>
  <c r="L40" i="1" s="1"/>
  <c r="H39" i="1"/>
  <c r="H5" i="1" s="1"/>
  <c r="G46" i="1"/>
  <c r="G39" i="1"/>
  <c r="G58" i="1"/>
  <c r="G59" i="1"/>
  <c r="G60" i="1"/>
  <c r="H50" i="2" l="1"/>
  <c r="I39" i="2"/>
  <c r="J40" i="2"/>
  <c r="H49" i="2"/>
  <c r="AT20" i="2"/>
  <c r="F37" i="2"/>
  <c r="F43" i="2"/>
  <c r="AQ17" i="2"/>
  <c r="AU17" i="2" s="1"/>
  <c r="AE20" i="2"/>
  <c r="AF20" i="2" s="1"/>
  <c r="F23" i="2"/>
  <c r="F3" i="2"/>
  <c r="F15" i="2" s="1"/>
  <c r="I19" i="2"/>
  <c r="H18" i="2"/>
  <c r="AQ20" i="2"/>
  <c r="AU20" i="2" s="1"/>
  <c r="I51" i="2"/>
  <c r="J51" i="2" s="1"/>
  <c r="K51" i="2" s="1"/>
  <c r="L51" i="2" s="1"/>
  <c r="M51" i="2" s="1"/>
  <c r="N51" i="2" s="1"/>
  <c r="O51" i="2" s="1"/>
  <c r="P51" i="2" s="1"/>
  <c r="Q51" i="2" s="1"/>
  <c r="R51" i="2" s="1"/>
  <c r="S51" i="2" s="1"/>
  <c r="T51" i="2" s="1"/>
  <c r="U51" i="2" s="1"/>
  <c r="V51" i="2" s="1"/>
  <c r="W51" i="2" s="1"/>
  <c r="X51" i="2" s="1"/>
  <c r="Y51" i="2" s="1"/>
  <c r="Z51" i="2" s="1"/>
  <c r="AA51" i="2" s="1"/>
  <c r="AB51" i="2" s="1"/>
  <c r="AC51" i="2" s="1"/>
  <c r="AD51" i="2" s="1"/>
  <c r="AE51" i="2" s="1"/>
  <c r="AF51" i="2" s="1"/>
  <c r="AG51" i="2" s="1"/>
  <c r="AH51" i="2" s="1"/>
  <c r="AI51" i="2" s="1"/>
  <c r="AJ51" i="2" s="1"/>
  <c r="AK51" i="2" s="1"/>
  <c r="AL51" i="2" s="1"/>
  <c r="AM51" i="2" s="1"/>
  <c r="AN51" i="2" s="1"/>
  <c r="AO51" i="2" s="1"/>
  <c r="H48" i="2"/>
  <c r="AE17" i="2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R17" i="2" s="1"/>
  <c r="AV17" i="2" s="1"/>
  <c r="H47" i="2"/>
  <c r="G46" i="2"/>
  <c r="AT17" i="2"/>
  <c r="AI18" i="1"/>
  <c r="AI4" i="1" s="1"/>
  <c r="AJ20" i="1"/>
  <c r="AQ20" i="1"/>
  <c r="Q4" i="1"/>
  <c r="R4" i="1"/>
  <c r="U19" i="1"/>
  <c r="T18" i="1"/>
  <c r="T4" i="1" s="1"/>
  <c r="K18" i="1"/>
  <c r="K4" i="1" s="1"/>
  <c r="L18" i="1"/>
  <c r="L4" i="1" s="1"/>
  <c r="J18" i="1"/>
  <c r="J4" i="1" s="1"/>
  <c r="AT51" i="1"/>
  <c r="F25" i="1"/>
  <c r="F16" i="1"/>
  <c r="M18" i="1"/>
  <c r="H22" i="1"/>
  <c r="F24" i="1"/>
  <c r="F9" i="1"/>
  <c r="F8" i="1"/>
  <c r="F15" i="1"/>
  <c r="F12" i="1"/>
  <c r="F11" i="1" s="1"/>
  <c r="AF4" i="1"/>
  <c r="S4" i="1"/>
  <c r="AG4" i="1"/>
  <c r="AH4" i="1"/>
  <c r="V48" i="1"/>
  <c r="W48" i="1" s="1"/>
  <c r="X48" i="1" s="1"/>
  <c r="Y48" i="1" s="1"/>
  <c r="Z48" i="1" s="1"/>
  <c r="AA48" i="1" s="1"/>
  <c r="AB48" i="1" s="1"/>
  <c r="AC48" i="1" s="1"/>
  <c r="AD48" i="1" s="1"/>
  <c r="G6" i="1"/>
  <c r="AT49" i="1"/>
  <c r="F53" i="1"/>
  <c r="F54" i="1" s="1"/>
  <c r="AT17" i="1"/>
  <c r="AE17" i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48" i="1"/>
  <c r="AJ34" i="1"/>
  <c r="AQ17" i="1"/>
  <c r="AU17" i="1" s="1"/>
  <c r="G5" i="1"/>
  <c r="V50" i="1"/>
  <c r="W50" i="1" s="1"/>
  <c r="X50" i="1" s="1"/>
  <c r="Y50" i="1" s="1"/>
  <c r="Z50" i="1" s="1"/>
  <c r="AA50" i="1" s="1"/>
  <c r="AB50" i="1" s="1"/>
  <c r="AC50" i="1" s="1"/>
  <c r="AD50" i="1" s="1"/>
  <c r="AP50" i="1"/>
  <c r="V49" i="1"/>
  <c r="W49" i="1" s="1"/>
  <c r="X49" i="1" s="1"/>
  <c r="Y49" i="1" s="1"/>
  <c r="Z49" i="1" s="1"/>
  <c r="AA49" i="1" s="1"/>
  <c r="AB49" i="1" s="1"/>
  <c r="AC49" i="1" s="1"/>
  <c r="AD49" i="1" s="1"/>
  <c r="I39" i="1"/>
  <c r="I5" i="1" s="1"/>
  <c r="H46" i="1"/>
  <c r="I49" i="2" l="1"/>
  <c r="J49" i="2" s="1"/>
  <c r="K49" i="2" s="1"/>
  <c r="L49" i="2" s="1"/>
  <c r="M49" i="2" s="1"/>
  <c r="N49" i="2" s="1"/>
  <c r="O49" i="2" s="1"/>
  <c r="P49" i="2" s="1"/>
  <c r="Q49" i="2" s="1"/>
  <c r="R49" i="2" s="1"/>
  <c r="AW17" i="2"/>
  <c r="F44" i="2"/>
  <c r="F53" i="2"/>
  <c r="F54" i="2" s="1"/>
  <c r="I5" i="2"/>
  <c r="AP49" i="2"/>
  <c r="J39" i="2"/>
  <c r="J5" i="2" s="1"/>
  <c r="K40" i="2"/>
  <c r="F24" i="2"/>
  <c r="F25" i="2"/>
  <c r="F16" i="2"/>
  <c r="F12" i="2"/>
  <c r="F9" i="2"/>
  <c r="F8" i="2"/>
  <c r="S49" i="2"/>
  <c r="T49" i="2" s="1"/>
  <c r="U49" i="2" s="1"/>
  <c r="V49" i="2" s="1"/>
  <c r="W49" i="2" s="1"/>
  <c r="X49" i="2" s="1"/>
  <c r="Y49" i="2" s="1"/>
  <c r="Z49" i="2" s="1"/>
  <c r="AA49" i="2" s="1"/>
  <c r="AB49" i="2" s="1"/>
  <c r="AC49" i="2" s="1"/>
  <c r="AD49" i="2" s="1"/>
  <c r="AG20" i="2"/>
  <c r="AF18" i="2"/>
  <c r="AF4" i="2" s="1"/>
  <c r="G6" i="2"/>
  <c r="I50" i="2"/>
  <c r="H4" i="2"/>
  <c r="J19" i="2"/>
  <c r="I18" i="2"/>
  <c r="I4" i="2" s="1"/>
  <c r="I47" i="2"/>
  <c r="H46" i="2"/>
  <c r="AS17" i="2"/>
  <c r="I48" i="2"/>
  <c r="J48" i="2" s="1"/>
  <c r="K48" i="2" s="1"/>
  <c r="L48" i="2" s="1"/>
  <c r="M48" i="2" s="1"/>
  <c r="N48" i="2" s="1"/>
  <c r="O48" i="2" s="1"/>
  <c r="P48" i="2" s="1"/>
  <c r="Q48" i="2" s="1"/>
  <c r="R48" i="2" s="1"/>
  <c r="AP51" i="2"/>
  <c r="AJ18" i="1"/>
  <c r="AJ4" i="1" s="1"/>
  <c r="AK20" i="1"/>
  <c r="AU20" i="1"/>
  <c r="V19" i="1"/>
  <c r="U18" i="1"/>
  <c r="U4" i="1" s="1"/>
  <c r="AQ50" i="1"/>
  <c r="AU50" i="1" s="1"/>
  <c r="F14" i="1"/>
  <c r="F7" i="1"/>
  <c r="F10" i="1" s="1"/>
  <c r="M4" i="1"/>
  <c r="N18" i="1"/>
  <c r="N4" i="1" s="1"/>
  <c r="I22" i="1"/>
  <c r="J39" i="1"/>
  <c r="J5" i="1" s="1"/>
  <c r="G22" i="1"/>
  <c r="G3" i="1"/>
  <c r="G16" i="1" s="1"/>
  <c r="AT48" i="1"/>
  <c r="I46" i="1"/>
  <c r="G23" i="1"/>
  <c r="AQ49" i="1"/>
  <c r="AR17" i="1"/>
  <c r="AV17" i="1" s="1"/>
  <c r="AW17" i="1" s="1"/>
  <c r="AE48" i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R48" i="1" s="1"/>
  <c r="AV48" i="1" s="1"/>
  <c r="AE49" i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T50" i="1"/>
  <c r="AK34" i="1"/>
  <c r="AQ48" i="1"/>
  <c r="AU48" i="1" s="1"/>
  <c r="H6" i="1"/>
  <c r="AE50" i="1"/>
  <c r="AF50" i="1" s="1"/>
  <c r="AG50" i="1" s="1"/>
  <c r="AH50" i="1" s="1"/>
  <c r="AI50" i="1" s="1"/>
  <c r="AJ50" i="1" s="1"/>
  <c r="AK50" i="1" s="1"/>
  <c r="AL50" i="1" s="1"/>
  <c r="AM50" i="1" s="1"/>
  <c r="AN50" i="1" s="1"/>
  <c r="AO50" i="1" s="1"/>
  <c r="AP48" i="2" l="1"/>
  <c r="AE49" i="2"/>
  <c r="AF49" i="2" s="1"/>
  <c r="AG49" i="2" s="1"/>
  <c r="AH49" i="2" s="1"/>
  <c r="AI49" i="2" s="1"/>
  <c r="AJ49" i="2" s="1"/>
  <c r="AK49" i="2" s="1"/>
  <c r="AL49" i="2" s="1"/>
  <c r="AM49" i="2" s="1"/>
  <c r="AN49" i="2" s="1"/>
  <c r="AO49" i="2" s="1"/>
  <c r="K39" i="2"/>
  <c r="K5" i="2" s="1"/>
  <c r="L40" i="2"/>
  <c r="S48" i="2"/>
  <c r="T48" i="2" s="1"/>
  <c r="U48" i="2" s="1"/>
  <c r="V48" i="2" s="1"/>
  <c r="W48" i="2" s="1"/>
  <c r="X48" i="2" s="1"/>
  <c r="Y48" i="2" s="1"/>
  <c r="Z48" i="2" s="1"/>
  <c r="AA48" i="2" s="1"/>
  <c r="AB48" i="2" s="1"/>
  <c r="AC48" i="2" s="1"/>
  <c r="AD48" i="2" s="1"/>
  <c r="G23" i="2"/>
  <c r="G3" i="2"/>
  <c r="I46" i="2"/>
  <c r="J47" i="2"/>
  <c r="H22" i="2"/>
  <c r="F14" i="2"/>
  <c r="J50" i="2"/>
  <c r="K50" i="2" s="1"/>
  <c r="L50" i="2" s="1"/>
  <c r="M50" i="2" s="1"/>
  <c r="N50" i="2" s="1"/>
  <c r="O50" i="2" s="1"/>
  <c r="P50" i="2" s="1"/>
  <c r="Q50" i="2" s="1"/>
  <c r="R50" i="2" s="1"/>
  <c r="F7" i="2"/>
  <c r="I22" i="2"/>
  <c r="AT49" i="2"/>
  <c r="K19" i="2"/>
  <c r="J18" i="2"/>
  <c r="J4" i="2" s="1"/>
  <c r="F11" i="2"/>
  <c r="AQ49" i="2"/>
  <c r="AU49" i="2" s="1"/>
  <c r="AT51" i="2"/>
  <c r="AT48" i="2"/>
  <c r="H6" i="2"/>
  <c r="H23" i="2" s="1"/>
  <c r="AH20" i="2"/>
  <c r="AG18" i="2"/>
  <c r="AG4" i="2" s="1"/>
  <c r="AK18" i="1"/>
  <c r="AK4" i="1" s="1"/>
  <c r="AL20" i="1"/>
  <c r="W19" i="1"/>
  <c r="V18" i="1"/>
  <c r="AS48" i="1"/>
  <c r="P18" i="1"/>
  <c r="P4" i="1" s="1"/>
  <c r="O18" i="1"/>
  <c r="AU49" i="1"/>
  <c r="AR50" i="1"/>
  <c r="AL34" i="1"/>
  <c r="J46" i="1"/>
  <c r="K39" i="1"/>
  <c r="AR49" i="1"/>
  <c r="AV49" i="1" s="1"/>
  <c r="AW48" i="1"/>
  <c r="J22" i="1"/>
  <c r="I6" i="1"/>
  <c r="H23" i="1"/>
  <c r="H3" i="1"/>
  <c r="H16" i="1" s="1"/>
  <c r="AS17" i="1"/>
  <c r="F13" i="1"/>
  <c r="G36" i="1"/>
  <c r="G8" i="1"/>
  <c r="G24" i="1"/>
  <c r="G15" i="1"/>
  <c r="G9" i="1"/>
  <c r="G12" i="1"/>
  <c r="G25" i="1"/>
  <c r="H3" i="2" l="1"/>
  <c r="H36" i="2" s="1"/>
  <c r="H16" i="2"/>
  <c r="F10" i="2"/>
  <c r="AE48" i="2"/>
  <c r="AF48" i="2" s="1"/>
  <c r="AG48" i="2" s="1"/>
  <c r="AH48" i="2" s="1"/>
  <c r="AI48" i="2" s="1"/>
  <c r="AJ48" i="2" s="1"/>
  <c r="AK48" i="2" s="1"/>
  <c r="AL48" i="2" s="1"/>
  <c r="AM48" i="2" s="1"/>
  <c r="AN48" i="2" s="1"/>
  <c r="AO48" i="2" s="1"/>
  <c r="J22" i="2"/>
  <c r="AP50" i="2"/>
  <c r="J46" i="2"/>
  <c r="K47" i="2"/>
  <c r="AQ48" i="2"/>
  <c r="G36" i="2"/>
  <c r="G24" i="2"/>
  <c r="G25" i="2"/>
  <c r="G15" i="2"/>
  <c r="G9" i="2"/>
  <c r="G16" i="2"/>
  <c r="G12" i="2"/>
  <c r="G8" i="2"/>
  <c r="AI20" i="2"/>
  <c r="AH18" i="2"/>
  <c r="AH4" i="2" s="1"/>
  <c r="L19" i="2"/>
  <c r="K18" i="2"/>
  <c r="M40" i="2"/>
  <c r="L39" i="2"/>
  <c r="AS49" i="2"/>
  <c r="AR49" i="2"/>
  <c r="AV49" i="2" s="1"/>
  <c r="S50" i="2"/>
  <c r="T50" i="2" s="1"/>
  <c r="U50" i="2" s="1"/>
  <c r="V50" i="2" s="1"/>
  <c r="W50" i="2" s="1"/>
  <c r="X50" i="2" s="1"/>
  <c r="Y50" i="2" s="1"/>
  <c r="Z50" i="2" s="1"/>
  <c r="AA50" i="2" s="1"/>
  <c r="AB50" i="2" s="1"/>
  <c r="AC50" i="2" s="1"/>
  <c r="AD50" i="2" s="1"/>
  <c r="AQ50" i="2"/>
  <c r="AU50" i="2" s="1"/>
  <c r="I6" i="2"/>
  <c r="AW49" i="2"/>
  <c r="AM20" i="1"/>
  <c r="AL18" i="1"/>
  <c r="AL4" i="1" s="1"/>
  <c r="V4" i="1"/>
  <c r="X19" i="1"/>
  <c r="W18" i="1"/>
  <c r="W4" i="1" s="1"/>
  <c r="AP19" i="1"/>
  <c r="O4" i="1"/>
  <c r="AP4" i="1" s="1"/>
  <c r="AP18" i="1"/>
  <c r="AS49" i="1"/>
  <c r="G14" i="1"/>
  <c r="G7" i="1"/>
  <c r="H36" i="1"/>
  <c r="H24" i="1"/>
  <c r="H15" i="1"/>
  <c r="H9" i="1"/>
  <c r="H25" i="1"/>
  <c r="H12" i="1"/>
  <c r="H11" i="1" s="1"/>
  <c r="H8" i="1"/>
  <c r="L39" i="1"/>
  <c r="L5" i="1" s="1"/>
  <c r="M40" i="1"/>
  <c r="G37" i="1"/>
  <c r="G43" i="1"/>
  <c r="K5" i="1"/>
  <c r="AW49" i="1"/>
  <c r="J6" i="1"/>
  <c r="AM34" i="1"/>
  <c r="AV50" i="1"/>
  <c r="AW50" i="1" s="1"/>
  <c r="AS50" i="1"/>
  <c r="G11" i="1"/>
  <c r="I23" i="1"/>
  <c r="I3" i="1"/>
  <c r="I16" i="1" s="1"/>
  <c r="F26" i="1"/>
  <c r="K46" i="1"/>
  <c r="H12" i="2" l="1"/>
  <c r="H11" i="2" s="1"/>
  <c r="H8" i="2"/>
  <c r="H24" i="2"/>
  <c r="H15" i="2"/>
  <c r="H9" i="2"/>
  <c r="H25" i="2"/>
  <c r="G37" i="2"/>
  <c r="G43" i="2"/>
  <c r="AE50" i="2"/>
  <c r="AF50" i="2" s="1"/>
  <c r="AG50" i="2" s="1"/>
  <c r="AH50" i="2" s="1"/>
  <c r="AI50" i="2" s="1"/>
  <c r="AJ50" i="2" s="1"/>
  <c r="AK50" i="2" s="1"/>
  <c r="AL50" i="2" s="1"/>
  <c r="AM50" i="2" s="1"/>
  <c r="AN50" i="2" s="1"/>
  <c r="AO50" i="2" s="1"/>
  <c r="G11" i="2"/>
  <c r="AU48" i="2"/>
  <c r="AR48" i="2"/>
  <c r="AV48" i="2" s="1"/>
  <c r="K4" i="2"/>
  <c r="K46" i="2"/>
  <c r="L47" i="2"/>
  <c r="AI18" i="2"/>
  <c r="AI4" i="2" s="1"/>
  <c r="AJ20" i="2"/>
  <c r="J6" i="2"/>
  <c r="F13" i="2"/>
  <c r="G7" i="2"/>
  <c r="M19" i="2"/>
  <c r="L18" i="2"/>
  <c r="L4" i="2" s="1"/>
  <c r="G14" i="2"/>
  <c r="AT50" i="2"/>
  <c r="L5" i="2"/>
  <c r="I23" i="2"/>
  <c r="I3" i="2"/>
  <c r="N40" i="2"/>
  <c r="M39" i="2"/>
  <c r="M5" i="2" s="1"/>
  <c r="H43" i="2"/>
  <c r="H37" i="2"/>
  <c r="AN20" i="1"/>
  <c r="AM18" i="1"/>
  <c r="AM4" i="1" s="1"/>
  <c r="Y19" i="1"/>
  <c r="X18" i="1"/>
  <c r="X4" i="1" s="1"/>
  <c r="AT19" i="1"/>
  <c r="AT4" i="1"/>
  <c r="AT18" i="1"/>
  <c r="H7" i="1"/>
  <c r="H10" i="1" s="1"/>
  <c r="H13" i="1" s="1"/>
  <c r="K6" i="1"/>
  <c r="K23" i="1" s="1"/>
  <c r="H37" i="1"/>
  <c r="H43" i="1"/>
  <c r="F27" i="1"/>
  <c r="F28" i="1"/>
  <c r="K22" i="1"/>
  <c r="G10" i="1"/>
  <c r="AN34" i="1"/>
  <c r="J23" i="1"/>
  <c r="J3" i="1"/>
  <c r="J16" i="1" s="1"/>
  <c r="G44" i="1"/>
  <c r="G53" i="1"/>
  <c r="G54" i="1" s="1"/>
  <c r="I36" i="1"/>
  <c r="I24" i="1"/>
  <c r="I15" i="1"/>
  <c r="I9" i="1"/>
  <c r="I25" i="1"/>
  <c r="I12" i="1"/>
  <c r="I8" i="1"/>
  <c r="M39" i="1"/>
  <c r="N40" i="1"/>
  <c r="H14" i="1"/>
  <c r="L46" i="1"/>
  <c r="L22" i="1"/>
  <c r="H14" i="2" l="1"/>
  <c r="AS48" i="2"/>
  <c r="AR50" i="2"/>
  <c r="AV50" i="2" s="1"/>
  <c r="H7" i="2"/>
  <c r="H10" i="2" s="1"/>
  <c r="H13" i="2" s="1"/>
  <c r="G10" i="2"/>
  <c r="K22" i="2"/>
  <c r="I36" i="2"/>
  <c r="I25" i="2"/>
  <c r="I16" i="2"/>
  <c r="I12" i="2"/>
  <c r="I24" i="2"/>
  <c r="I9" i="2"/>
  <c r="I15" i="2"/>
  <c r="I8" i="2"/>
  <c r="H44" i="2"/>
  <c r="H53" i="2"/>
  <c r="H54" i="2" s="1"/>
  <c r="G44" i="2"/>
  <c r="G53" i="2"/>
  <c r="G54" i="2" s="1"/>
  <c r="AJ18" i="2"/>
  <c r="AJ4" i="2" s="1"/>
  <c r="AK20" i="2"/>
  <c r="AW50" i="2"/>
  <c r="F26" i="2"/>
  <c r="L46" i="2"/>
  <c r="M47" i="2"/>
  <c r="L22" i="2"/>
  <c r="M18" i="2"/>
  <c r="M4" i="2" s="1"/>
  <c r="N19" i="2"/>
  <c r="O40" i="2"/>
  <c r="N39" i="2"/>
  <c r="N5" i="2" s="1"/>
  <c r="J23" i="2"/>
  <c r="J3" i="2"/>
  <c r="K6" i="2"/>
  <c r="K23" i="2" s="1"/>
  <c r="AW48" i="2"/>
  <c r="AO20" i="1"/>
  <c r="AN18" i="1"/>
  <c r="AN4" i="1" s="1"/>
  <c r="Z19" i="1"/>
  <c r="Y18" i="1"/>
  <c r="F29" i="1"/>
  <c r="F30" i="1" s="1"/>
  <c r="M5" i="1"/>
  <c r="K3" i="1"/>
  <c r="K16" i="1" s="1"/>
  <c r="J36" i="1"/>
  <c r="J24" i="1"/>
  <c r="J15" i="1"/>
  <c r="J9" i="1"/>
  <c r="J25" i="1"/>
  <c r="J12" i="1"/>
  <c r="J11" i="1" s="1"/>
  <c r="J8" i="1"/>
  <c r="I14" i="1"/>
  <c r="M46" i="1"/>
  <c r="G13" i="1"/>
  <c r="L6" i="1"/>
  <c r="H26" i="1"/>
  <c r="AO34" i="1"/>
  <c r="I37" i="1"/>
  <c r="I43" i="1"/>
  <c r="I11" i="1"/>
  <c r="I7" i="1"/>
  <c r="O40" i="1"/>
  <c r="N39" i="1"/>
  <c r="N5" i="1" s="1"/>
  <c r="H44" i="1"/>
  <c r="H53" i="1"/>
  <c r="H54" i="1" s="1"/>
  <c r="H26" i="2" l="1"/>
  <c r="AS50" i="2"/>
  <c r="K3" i="2"/>
  <c r="K25" i="2" s="1"/>
  <c r="N47" i="2"/>
  <c r="M46" i="2"/>
  <c r="L6" i="2"/>
  <c r="O19" i="2"/>
  <c r="N18" i="2"/>
  <c r="N4" i="2" s="1"/>
  <c r="M22" i="2"/>
  <c r="I11" i="2"/>
  <c r="I14" i="2"/>
  <c r="K36" i="2"/>
  <c r="K12" i="2"/>
  <c r="K11" i="2" s="1"/>
  <c r="K8" i="2"/>
  <c r="P40" i="2"/>
  <c r="O39" i="2"/>
  <c r="O5" i="2" s="1"/>
  <c r="F28" i="2"/>
  <c r="F27" i="2"/>
  <c r="AK18" i="2"/>
  <c r="AK4" i="2" s="1"/>
  <c r="AL20" i="2"/>
  <c r="G13" i="2"/>
  <c r="J36" i="2"/>
  <c r="J25" i="2"/>
  <c r="J24" i="2"/>
  <c r="J16" i="2"/>
  <c r="J8" i="2"/>
  <c r="J15" i="2"/>
  <c r="J9" i="2"/>
  <c r="J12" i="2"/>
  <c r="J11" i="2" s="1"/>
  <c r="I7" i="2"/>
  <c r="I43" i="2"/>
  <c r="I37" i="2"/>
  <c r="AO18" i="1"/>
  <c r="AO4" i="1" s="1"/>
  <c r="AR20" i="1"/>
  <c r="AA19" i="1"/>
  <c r="Z18" i="1"/>
  <c r="Z4" i="1" s="1"/>
  <c r="Y4" i="1"/>
  <c r="J14" i="1"/>
  <c r="J7" i="1"/>
  <c r="J10" i="1" s="1"/>
  <c r="J13" i="1" s="1"/>
  <c r="J43" i="1"/>
  <c r="J37" i="1"/>
  <c r="G26" i="1"/>
  <c r="M6" i="1"/>
  <c r="M23" i="1" s="1"/>
  <c r="M22" i="1"/>
  <c r="L23" i="1"/>
  <c r="L3" i="1"/>
  <c r="L16" i="1" s="1"/>
  <c r="I44" i="1"/>
  <c r="I53" i="1"/>
  <c r="I54" i="1" s="1"/>
  <c r="N22" i="1"/>
  <c r="N46" i="1"/>
  <c r="K36" i="1"/>
  <c r="K25" i="1"/>
  <c r="K8" i="1"/>
  <c r="K24" i="1"/>
  <c r="K12" i="1"/>
  <c r="K9" i="1"/>
  <c r="K15" i="1"/>
  <c r="P40" i="1"/>
  <c r="O39" i="1"/>
  <c r="I10" i="1"/>
  <c r="H28" i="1"/>
  <c r="H27" i="1"/>
  <c r="H27" i="2" l="1"/>
  <c r="H28" i="2"/>
  <c r="H29" i="2" s="1"/>
  <c r="H30" i="2" s="1"/>
  <c r="J14" i="2"/>
  <c r="F29" i="2"/>
  <c r="F30" i="2" s="1"/>
  <c r="K9" i="2"/>
  <c r="K7" i="2" s="1"/>
  <c r="K10" i="2" s="1"/>
  <c r="K13" i="2" s="1"/>
  <c r="K15" i="2"/>
  <c r="K24" i="2"/>
  <c r="K16" i="2"/>
  <c r="J7" i="2"/>
  <c r="J10" i="2" s="1"/>
  <c r="J13" i="2" s="1"/>
  <c r="J26" i="2" s="1"/>
  <c r="I44" i="2"/>
  <c r="I53" i="2"/>
  <c r="I54" i="2" s="1"/>
  <c r="G26" i="2"/>
  <c r="L23" i="2"/>
  <c r="L3" i="2"/>
  <c r="I10" i="2"/>
  <c r="J43" i="2"/>
  <c r="J37" i="2"/>
  <c r="M6" i="2"/>
  <c r="AL18" i="2"/>
  <c r="AL4" i="2" s="1"/>
  <c r="AM20" i="2"/>
  <c r="P39" i="2"/>
  <c r="P5" i="2" s="1"/>
  <c r="Q40" i="2"/>
  <c r="N22" i="2"/>
  <c r="O47" i="2"/>
  <c r="N46" i="2"/>
  <c r="K43" i="2"/>
  <c r="K37" i="2"/>
  <c r="P19" i="2"/>
  <c r="O18" i="2"/>
  <c r="O4" i="2" s="1"/>
  <c r="AV20" i="1"/>
  <c r="AW20" i="1" s="1"/>
  <c r="AS20" i="1"/>
  <c r="AB19" i="1"/>
  <c r="AA18" i="1"/>
  <c r="AA4" i="1" s="1"/>
  <c r="M3" i="1"/>
  <c r="M16" i="1" s="1"/>
  <c r="H29" i="1"/>
  <c r="H30" i="1" s="1"/>
  <c r="J26" i="1"/>
  <c r="L36" i="1"/>
  <c r="L25" i="1"/>
  <c r="L12" i="1"/>
  <c r="L11" i="1" s="1"/>
  <c r="L15" i="1"/>
  <c r="L24" i="1"/>
  <c r="L9" i="1"/>
  <c r="L8" i="1"/>
  <c r="J44" i="1"/>
  <c r="J53" i="1"/>
  <c r="J54" i="1" s="1"/>
  <c r="K11" i="1"/>
  <c r="N6" i="1"/>
  <c r="O5" i="1"/>
  <c r="K7" i="1"/>
  <c r="G28" i="1"/>
  <c r="G27" i="1"/>
  <c r="I13" i="1"/>
  <c r="O46" i="1"/>
  <c r="Q40" i="1"/>
  <c r="P39" i="1"/>
  <c r="P5" i="1" s="1"/>
  <c r="K14" i="1"/>
  <c r="K43" i="1"/>
  <c r="K37" i="1"/>
  <c r="K14" i="2" l="1"/>
  <c r="K26" i="2" s="1"/>
  <c r="K27" i="2" s="1"/>
  <c r="P47" i="2"/>
  <c r="O46" i="2"/>
  <c r="M23" i="2"/>
  <c r="M3" i="2"/>
  <c r="G28" i="2"/>
  <c r="G27" i="2"/>
  <c r="Q39" i="2"/>
  <c r="R40" i="2"/>
  <c r="AP40" i="2"/>
  <c r="J44" i="2"/>
  <c r="J53" i="2"/>
  <c r="J54" i="2" s="1"/>
  <c r="Q19" i="2"/>
  <c r="P18" i="2"/>
  <c r="P4" i="2" s="1"/>
  <c r="I13" i="2"/>
  <c r="O22" i="2"/>
  <c r="J27" i="2"/>
  <c r="J28" i="2"/>
  <c r="K44" i="2"/>
  <c r="K53" i="2"/>
  <c r="K54" i="2" s="1"/>
  <c r="AM18" i="2"/>
  <c r="AM4" i="2" s="1"/>
  <c r="AN20" i="2"/>
  <c r="L36" i="2"/>
  <c r="L25" i="2"/>
  <c r="L16" i="2"/>
  <c r="L12" i="2"/>
  <c r="L8" i="2"/>
  <c r="L15" i="2"/>
  <c r="L9" i="2"/>
  <c r="L24" i="2"/>
  <c r="N6" i="2"/>
  <c r="AC19" i="1"/>
  <c r="AB18" i="1"/>
  <c r="AB4" i="1" s="1"/>
  <c r="M9" i="1"/>
  <c r="M36" i="1"/>
  <c r="M43" i="1" s="1"/>
  <c r="M24" i="1"/>
  <c r="M8" i="1"/>
  <c r="M15" i="1"/>
  <c r="M12" i="1"/>
  <c r="M11" i="1" s="1"/>
  <c r="M25" i="1"/>
  <c r="G29" i="1"/>
  <c r="G30" i="1" s="1"/>
  <c r="J27" i="1"/>
  <c r="J28" i="1"/>
  <c r="O22" i="1"/>
  <c r="N23" i="1"/>
  <c r="N3" i="1"/>
  <c r="N16" i="1" s="1"/>
  <c r="K44" i="1"/>
  <c r="K53" i="1"/>
  <c r="K54" i="1" s="1"/>
  <c r="I26" i="1"/>
  <c r="R40" i="1"/>
  <c r="Q39" i="1"/>
  <c r="AP40" i="1"/>
  <c r="O6" i="1"/>
  <c r="O23" i="1" s="1"/>
  <c r="L14" i="1"/>
  <c r="K10" i="1"/>
  <c r="P22" i="1"/>
  <c r="P46" i="1"/>
  <c r="L7" i="1"/>
  <c r="L10" i="1" s="1"/>
  <c r="L13" i="1" s="1"/>
  <c r="L43" i="1"/>
  <c r="L37" i="1"/>
  <c r="K28" i="2" l="1"/>
  <c r="K29" i="2" s="1"/>
  <c r="K30" i="2" s="1"/>
  <c r="G29" i="2"/>
  <c r="G30" i="2" s="1"/>
  <c r="J29" i="2"/>
  <c r="J30" i="2" s="1"/>
  <c r="L43" i="2"/>
  <c r="L37" i="2"/>
  <c r="M24" i="2"/>
  <c r="M36" i="2"/>
  <c r="M8" i="2"/>
  <c r="M15" i="2"/>
  <c r="M9" i="2"/>
  <c r="M16" i="2"/>
  <c r="M25" i="2"/>
  <c r="M12" i="2"/>
  <c r="M11" i="2" s="1"/>
  <c r="AO20" i="2"/>
  <c r="AN18" i="2"/>
  <c r="AN4" i="2" s="1"/>
  <c r="AT40" i="2"/>
  <c r="R39" i="2"/>
  <c r="S40" i="2"/>
  <c r="L7" i="2"/>
  <c r="Q5" i="2"/>
  <c r="AP5" i="2" s="1"/>
  <c r="AP39" i="2"/>
  <c r="L14" i="2"/>
  <c r="O6" i="2"/>
  <c r="I26" i="2"/>
  <c r="Q47" i="2"/>
  <c r="P46" i="2"/>
  <c r="P22" i="2"/>
  <c r="L11" i="2"/>
  <c r="R19" i="2"/>
  <c r="Q18" i="2"/>
  <c r="AP19" i="2"/>
  <c r="N23" i="2"/>
  <c r="N3" i="2"/>
  <c r="M37" i="1"/>
  <c r="AD19" i="1"/>
  <c r="AC18" i="1"/>
  <c r="AQ19" i="1"/>
  <c r="M14" i="1"/>
  <c r="M7" i="1"/>
  <c r="M10" i="1" s="1"/>
  <c r="M13" i="1" s="1"/>
  <c r="L26" i="1"/>
  <c r="L27" i="1" s="1"/>
  <c r="J29" i="1"/>
  <c r="J30" i="1" s="1"/>
  <c r="I28" i="1"/>
  <c r="I27" i="1"/>
  <c r="L44" i="1"/>
  <c r="L53" i="1"/>
  <c r="L54" i="1" s="1"/>
  <c r="Q5" i="1"/>
  <c r="AP39" i="1"/>
  <c r="O3" i="1"/>
  <c r="O16" i="1" s="1"/>
  <c r="K13" i="1"/>
  <c r="N36" i="1"/>
  <c r="N25" i="1"/>
  <c r="N12" i="1"/>
  <c r="N11" i="1" s="1"/>
  <c r="N8" i="1"/>
  <c r="N24" i="1"/>
  <c r="N15" i="1"/>
  <c r="N9" i="1"/>
  <c r="AT40" i="1"/>
  <c r="R39" i="1"/>
  <c r="S40" i="1"/>
  <c r="M44" i="1"/>
  <c r="M53" i="1"/>
  <c r="M54" i="1" s="1"/>
  <c r="P6" i="1"/>
  <c r="Q46" i="1"/>
  <c r="AP47" i="1"/>
  <c r="M14" i="2" l="1"/>
  <c r="AT39" i="2"/>
  <c r="AP41" i="2"/>
  <c r="M7" i="2"/>
  <c r="M10" i="2" s="1"/>
  <c r="M13" i="2" s="1"/>
  <c r="O23" i="2"/>
  <c r="O3" i="2"/>
  <c r="S39" i="2"/>
  <c r="S5" i="2" s="1"/>
  <c r="T40" i="2"/>
  <c r="AO18" i="2"/>
  <c r="AO4" i="2" s="1"/>
  <c r="AR20" i="2"/>
  <c r="M37" i="2"/>
  <c r="M43" i="2"/>
  <c r="AT19" i="2"/>
  <c r="Q46" i="2"/>
  <c r="R47" i="2"/>
  <c r="AP47" i="2"/>
  <c r="I27" i="2"/>
  <c r="I28" i="2"/>
  <c r="AT5" i="2"/>
  <c r="R5" i="2"/>
  <c r="P6" i="2"/>
  <c r="Q4" i="2"/>
  <c r="AP18" i="2"/>
  <c r="S19" i="2"/>
  <c r="R18" i="2"/>
  <c r="L10" i="2"/>
  <c r="N36" i="2"/>
  <c r="N24" i="2"/>
  <c r="N25" i="2"/>
  <c r="N15" i="2"/>
  <c r="N16" i="2"/>
  <c r="N12" i="2"/>
  <c r="N8" i="2"/>
  <c r="N9" i="2"/>
  <c r="L44" i="2"/>
  <c r="L53" i="2"/>
  <c r="L54" i="2" s="1"/>
  <c r="AC4" i="1"/>
  <c r="AQ4" i="1" s="1"/>
  <c r="AQ18" i="1"/>
  <c r="AU19" i="1"/>
  <c r="AE19" i="1"/>
  <c r="AE18" i="1" s="1"/>
  <c r="AE4" i="1" s="1"/>
  <c r="AD18" i="1"/>
  <c r="M26" i="1"/>
  <c r="M27" i="1" s="1"/>
  <c r="I29" i="1"/>
  <c r="I30" i="1" s="1"/>
  <c r="L28" i="1"/>
  <c r="L29" i="1" s="1"/>
  <c r="L30" i="1" s="1"/>
  <c r="N14" i="1"/>
  <c r="N43" i="1"/>
  <c r="N37" i="1"/>
  <c r="S39" i="1"/>
  <c r="S5" i="1" s="1"/>
  <c r="T40" i="1"/>
  <c r="Q6" i="1"/>
  <c r="AP46" i="1"/>
  <c r="N7" i="1"/>
  <c r="P23" i="1"/>
  <c r="P3" i="1"/>
  <c r="P16" i="1" s="1"/>
  <c r="AP41" i="1"/>
  <c r="AT39" i="1"/>
  <c r="K26" i="1"/>
  <c r="R46" i="1"/>
  <c r="O36" i="1"/>
  <c r="O8" i="1"/>
  <c r="O24" i="1"/>
  <c r="O9" i="1"/>
  <c r="O25" i="1"/>
  <c r="O15" i="1"/>
  <c r="O12" i="1"/>
  <c r="O11" i="1" s="1"/>
  <c r="Q22" i="1"/>
  <c r="AP22" i="1" s="1"/>
  <c r="AP5" i="1"/>
  <c r="AT47" i="1"/>
  <c r="R5" i="1"/>
  <c r="M26" i="2" l="1"/>
  <c r="M28" i="2" s="1"/>
  <c r="I29" i="2"/>
  <c r="I30" i="2" s="1"/>
  <c r="U40" i="2"/>
  <c r="T39" i="2"/>
  <c r="T5" i="2" s="1"/>
  <c r="Q22" i="2"/>
  <c r="AP22" i="2" s="1"/>
  <c r="AP4" i="2"/>
  <c r="P23" i="2"/>
  <c r="P3" i="2"/>
  <c r="M44" i="2"/>
  <c r="M53" i="2"/>
  <c r="M54" i="2" s="1"/>
  <c r="AT18" i="2"/>
  <c r="O36" i="2"/>
  <c r="O24" i="2"/>
  <c r="O25" i="2"/>
  <c r="O15" i="2"/>
  <c r="O14" i="2" s="1"/>
  <c r="O9" i="2"/>
  <c r="O16" i="2"/>
  <c r="O12" i="2"/>
  <c r="O11" i="2" s="1"/>
  <c r="O8" i="2"/>
  <c r="N11" i="2"/>
  <c r="R4" i="2"/>
  <c r="N14" i="2"/>
  <c r="AV20" i="2"/>
  <c r="AW20" i="2" s="1"/>
  <c r="AS20" i="2"/>
  <c r="R46" i="2"/>
  <c r="S47" i="2"/>
  <c r="N37" i="2"/>
  <c r="N43" i="2"/>
  <c r="Q6" i="2"/>
  <c r="Q3" i="2" s="1"/>
  <c r="AP46" i="2"/>
  <c r="N7" i="2"/>
  <c r="N10" i="2" s="1"/>
  <c r="L13" i="2"/>
  <c r="T19" i="2"/>
  <c r="S18" i="2"/>
  <c r="S4" i="2" s="1"/>
  <c r="AT47" i="2"/>
  <c r="AT41" i="2"/>
  <c r="AR18" i="1"/>
  <c r="AV18" i="1" s="1"/>
  <c r="AD4" i="1"/>
  <c r="AR4" i="1" s="1"/>
  <c r="AV4" i="1" s="1"/>
  <c r="AR19" i="1"/>
  <c r="AU18" i="1"/>
  <c r="AU4" i="1"/>
  <c r="M28" i="1"/>
  <c r="M29" i="1" s="1"/>
  <c r="M30" i="1" s="1"/>
  <c r="Q23" i="1"/>
  <c r="AP23" i="1" s="1"/>
  <c r="AP6" i="1"/>
  <c r="AT46" i="1"/>
  <c r="O37" i="1"/>
  <c r="O43" i="1"/>
  <c r="AT5" i="1"/>
  <c r="Q3" i="1"/>
  <c r="Q16" i="1" s="1"/>
  <c r="R6" i="1"/>
  <c r="R3" i="1" s="1"/>
  <c r="R16" i="1" s="1"/>
  <c r="P36" i="1"/>
  <c r="P24" i="1"/>
  <c r="P15" i="1"/>
  <c r="P9" i="1"/>
  <c r="P25" i="1"/>
  <c r="P8" i="1"/>
  <c r="P12" i="1"/>
  <c r="P11" i="1" s="1"/>
  <c r="K27" i="1"/>
  <c r="K28" i="1"/>
  <c r="AT22" i="1"/>
  <c r="T39" i="1"/>
  <c r="T5" i="1" s="1"/>
  <c r="U40" i="1"/>
  <c r="O14" i="1"/>
  <c r="N44" i="1"/>
  <c r="N53" i="1"/>
  <c r="N54" i="1" s="1"/>
  <c r="AT41" i="1"/>
  <c r="O7" i="1"/>
  <c r="O10" i="1" s="1"/>
  <c r="O13" i="1" s="1"/>
  <c r="R22" i="1"/>
  <c r="S22" i="1"/>
  <c r="S46" i="1"/>
  <c r="N10" i="1"/>
  <c r="N13" i="2" l="1"/>
  <c r="O7" i="2"/>
  <c r="O10" i="2" s="1"/>
  <c r="O13" i="2" s="1"/>
  <c r="O26" i="2" s="1"/>
  <c r="M27" i="2"/>
  <c r="N26" i="2"/>
  <c r="N27" i="2" s="1"/>
  <c r="M29" i="2"/>
  <c r="M30" i="2" s="1"/>
  <c r="Q36" i="2"/>
  <c r="Q25" i="2"/>
  <c r="Q24" i="2"/>
  <c r="Q16" i="2"/>
  <c r="Q12" i="2"/>
  <c r="Q8" i="2"/>
  <c r="Q15" i="2"/>
  <c r="Q9" i="2"/>
  <c r="AP3" i="2"/>
  <c r="R6" i="2"/>
  <c r="AT46" i="2"/>
  <c r="O37" i="2"/>
  <c r="O43" i="2"/>
  <c r="P36" i="2"/>
  <c r="P25" i="2"/>
  <c r="P15" i="2"/>
  <c r="P9" i="2"/>
  <c r="P24" i="2"/>
  <c r="P8" i="2"/>
  <c r="P16" i="2"/>
  <c r="P12" i="2"/>
  <c r="P11" i="2" s="1"/>
  <c r="N44" i="2"/>
  <c r="N53" i="2"/>
  <c r="N54" i="2" s="1"/>
  <c r="AT4" i="2"/>
  <c r="R22" i="2"/>
  <c r="R3" i="2"/>
  <c r="Q23" i="2"/>
  <c r="AP23" i="2" s="1"/>
  <c r="AP6" i="2"/>
  <c r="S22" i="2"/>
  <c r="T18" i="2"/>
  <c r="T4" i="2" s="1"/>
  <c r="U19" i="2"/>
  <c r="L26" i="2"/>
  <c r="S46" i="2"/>
  <c r="T47" i="2"/>
  <c r="AT22" i="2"/>
  <c r="V40" i="2"/>
  <c r="U39" i="2"/>
  <c r="U5" i="2" s="1"/>
  <c r="AS18" i="1"/>
  <c r="AW18" i="1"/>
  <c r="P7" i="1"/>
  <c r="P10" i="1" s="1"/>
  <c r="P13" i="1" s="1"/>
  <c r="AW4" i="1"/>
  <c r="AS4" i="1"/>
  <c r="AV19" i="1"/>
  <c r="AW19" i="1" s="1"/>
  <c r="AS19" i="1"/>
  <c r="K29" i="1"/>
  <c r="K30" i="1" s="1"/>
  <c r="P37" i="1"/>
  <c r="P43" i="1"/>
  <c r="O44" i="1"/>
  <c r="O53" i="1"/>
  <c r="O54" i="1" s="1"/>
  <c r="R23" i="1"/>
  <c r="R36" i="1"/>
  <c r="R24" i="1"/>
  <c r="R15" i="1"/>
  <c r="R9" i="1"/>
  <c r="R25" i="1"/>
  <c r="R12" i="1"/>
  <c r="R8" i="1"/>
  <c r="T46" i="1"/>
  <c r="S6" i="1"/>
  <c r="Q36" i="1"/>
  <c r="Q24" i="1"/>
  <c r="AP24" i="1" s="1"/>
  <c r="Q15" i="1"/>
  <c r="Q9" i="1"/>
  <c r="AP9" i="1" s="1"/>
  <c r="Q25" i="1"/>
  <c r="AP25" i="1" s="1"/>
  <c r="AP16" i="1"/>
  <c r="Q12" i="1"/>
  <c r="Q8" i="1"/>
  <c r="AP3" i="1"/>
  <c r="U39" i="1"/>
  <c r="U5" i="1" s="1"/>
  <c r="V40" i="1"/>
  <c r="O26" i="1"/>
  <c r="AT6" i="1"/>
  <c r="T22" i="1"/>
  <c r="N13" i="1"/>
  <c r="P14" i="1"/>
  <c r="AT23" i="1"/>
  <c r="N28" i="2" l="1"/>
  <c r="O28" i="2"/>
  <c r="O27" i="2"/>
  <c r="O29" i="2" s="1"/>
  <c r="O30" i="2" s="1"/>
  <c r="AP9" i="2"/>
  <c r="P7" i="2"/>
  <c r="P10" i="2" s="1"/>
  <c r="P13" i="2" s="1"/>
  <c r="AP24" i="2"/>
  <c r="AT24" i="2" s="1"/>
  <c r="AP16" i="2"/>
  <c r="N29" i="2"/>
  <c r="N30" i="2" s="1"/>
  <c r="AT6" i="2"/>
  <c r="O44" i="2"/>
  <c r="O53" i="2"/>
  <c r="O54" i="2" s="1"/>
  <c r="T46" i="2"/>
  <c r="U47" i="2"/>
  <c r="S6" i="2"/>
  <c r="L28" i="2"/>
  <c r="L27" i="2"/>
  <c r="L29" i="2" s="1"/>
  <c r="L30" i="2" s="1"/>
  <c r="AP32" i="2"/>
  <c r="AP27" i="2"/>
  <c r="AP28" i="2"/>
  <c r="AT3" i="2"/>
  <c r="Q43" i="2"/>
  <c r="Q37" i="2"/>
  <c r="AP36" i="2"/>
  <c r="AP34" i="2" s="1"/>
  <c r="Q14" i="2"/>
  <c r="AP15" i="2"/>
  <c r="Q11" i="2"/>
  <c r="AP11" i="2" s="1"/>
  <c r="AP12" i="2"/>
  <c r="P43" i="2"/>
  <c r="P37" i="2"/>
  <c r="W40" i="2"/>
  <c r="V39" i="2"/>
  <c r="V5" i="2" s="1"/>
  <c r="AT9" i="2"/>
  <c r="V19" i="2"/>
  <c r="U18" i="2"/>
  <c r="Q7" i="2"/>
  <c r="AP8" i="2"/>
  <c r="R36" i="2"/>
  <c r="R25" i="2"/>
  <c r="R24" i="2"/>
  <c r="R16" i="2"/>
  <c r="R8" i="2"/>
  <c r="R15" i="2"/>
  <c r="R9" i="2"/>
  <c r="R12" i="2"/>
  <c r="AT16" i="2"/>
  <c r="AT23" i="2"/>
  <c r="AP25" i="2"/>
  <c r="T22" i="2"/>
  <c r="P14" i="2"/>
  <c r="R23" i="2"/>
  <c r="P26" i="1"/>
  <c r="P28" i="1" s="1"/>
  <c r="W40" i="1"/>
  <c r="V39" i="1"/>
  <c r="V5" i="1" s="1"/>
  <c r="Q14" i="1"/>
  <c r="AP14" i="1" s="1"/>
  <c r="AP15" i="1"/>
  <c r="U22" i="1"/>
  <c r="Q7" i="1"/>
  <c r="AP8" i="1"/>
  <c r="AT25" i="1"/>
  <c r="AT9" i="1"/>
  <c r="R14" i="1"/>
  <c r="AT24" i="1"/>
  <c r="R11" i="1"/>
  <c r="N26" i="1"/>
  <c r="U46" i="1"/>
  <c r="V47" i="1"/>
  <c r="T6" i="1"/>
  <c r="P44" i="1"/>
  <c r="P53" i="1"/>
  <c r="P54" i="1" s="1"/>
  <c r="R43" i="1"/>
  <c r="R37" i="1"/>
  <c r="Q11" i="1"/>
  <c r="AP11" i="1" s="1"/>
  <c r="AP12" i="1"/>
  <c r="AP32" i="1"/>
  <c r="AP28" i="1"/>
  <c r="AP27" i="1"/>
  <c r="AT3" i="1"/>
  <c r="R7" i="1"/>
  <c r="Q37" i="1"/>
  <c r="AP37" i="1" s="1"/>
  <c r="AT37" i="1" s="1"/>
  <c r="Q43" i="1"/>
  <c r="AP36" i="1"/>
  <c r="AP34" i="1" s="1"/>
  <c r="O28" i="1"/>
  <c r="O27" i="1"/>
  <c r="AT16" i="1"/>
  <c r="S23" i="1"/>
  <c r="S3" i="1"/>
  <c r="S16" i="1" s="1"/>
  <c r="AT15" i="2" l="1"/>
  <c r="T6" i="2"/>
  <c r="R11" i="2"/>
  <c r="R43" i="2"/>
  <c r="R37" i="2"/>
  <c r="AT8" i="2"/>
  <c r="AT28" i="2"/>
  <c r="R14" i="2"/>
  <c r="S23" i="2"/>
  <c r="S3" i="2"/>
  <c r="AP43" i="2"/>
  <c r="AT36" i="2"/>
  <c r="AT34" i="2" s="1"/>
  <c r="AP14" i="2"/>
  <c r="AT32" i="2"/>
  <c r="AT25" i="2"/>
  <c r="AP7" i="2"/>
  <c r="Q10" i="2"/>
  <c r="X40" i="2"/>
  <c r="W39" i="2"/>
  <c r="AT27" i="2"/>
  <c r="R7" i="2"/>
  <c r="U4" i="2"/>
  <c r="P44" i="2"/>
  <c r="P53" i="2"/>
  <c r="P54" i="2" s="1"/>
  <c r="P26" i="2"/>
  <c r="W19" i="2"/>
  <c r="V18" i="2"/>
  <c r="V4" i="2" s="1"/>
  <c r="AT12" i="2"/>
  <c r="AP37" i="2"/>
  <c r="AT37" i="2" s="1"/>
  <c r="AT11" i="2"/>
  <c r="Q44" i="2"/>
  <c r="Q53" i="2"/>
  <c r="Q54" i="2" s="1"/>
  <c r="V47" i="2"/>
  <c r="U46" i="2"/>
  <c r="P27" i="1"/>
  <c r="P29" i="1" s="1"/>
  <c r="P30" i="1" s="1"/>
  <c r="O29" i="1"/>
  <c r="O30" i="1" s="1"/>
  <c r="AT32" i="1"/>
  <c r="AT27" i="1"/>
  <c r="AT11" i="1"/>
  <c r="AT14" i="1"/>
  <c r="AT15" i="1"/>
  <c r="V22" i="1"/>
  <c r="AT28" i="1"/>
  <c r="V46" i="1"/>
  <c r="W47" i="1"/>
  <c r="U6" i="1"/>
  <c r="AT8" i="1"/>
  <c r="X40" i="1"/>
  <c r="W39" i="1"/>
  <c r="T23" i="1"/>
  <c r="T3" i="1"/>
  <c r="T16" i="1" s="1"/>
  <c r="Q44" i="1"/>
  <c r="Q53" i="1"/>
  <c r="Q54" i="1" s="1"/>
  <c r="R44" i="1"/>
  <c r="R53" i="1"/>
  <c r="R54" i="1" s="1"/>
  <c r="AP7" i="1"/>
  <c r="Q10" i="1"/>
  <c r="AT12" i="1"/>
  <c r="AP43" i="1"/>
  <c r="AT36" i="1"/>
  <c r="AT34" i="1" s="1"/>
  <c r="S36" i="1"/>
  <c r="S25" i="1"/>
  <c r="S8" i="1"/>
  <c r="S15" i="1"/>
  <c r="S12" i="1"/>
  <c r="S24" i="1"/>
  <c r="S9" i="1"/>
  <c r="R10" i="1"/>
  <c r="N27" i="1"/>
  <c r="N28" i="1"/>
  <c r="W5" i="2" l="1"/>
  <c r="AT7" i="2"/>
  <c r="U6" i="2"/>
  <c r="AP44" i="2"/>
  <c r="AP53" i="2"/>
  <c r="AP54" i="2" s="1"/>
  <c r="T23" i="2"/>
  <c r="T3" i="2"/>
  <c r="R44" i="2"/>
  <c r="R53" i="2"/>
  <c r="R54" i="2" s="1"/>
  <c r="R10" i="2"/>
  <c r="AT43" i="2"/>
  <c r="W47" i="2"/>
  <c r="V46" i="2"/>
  <c r="P27" i="2"/>
  <c r="P28" i="2"/>
  <c r="S36" i="2"/>
  <c r="S25" i="2"/>
  <c r="S24" i="2"/>
  <c r="S16" i="2"/>
  <c r="S12" i="2"/>
  <c r="S15" i="2"/>
  <c r="S9" i="2"/>
  <c r="S8" i="2"/>
  <c r="V22" i="2"/>
  <c r="X39" i="2"/>
  <c r="X5" i="2" s="1"/>
  <c r="Y40" i="2"/>
  <c r="X19" i="2"/>
  <c r="W18" i="2"/>
  <c r="W4" i="2" s="1"/>
  <c r="U22" i="2"/>
  <c r="U3" i="2"/>
  <c r="Q13" i="2"/>
  <c r="AP10" i="2"/>
  <c r="AT14" i="2"/>
  <c r="N29" i="1"/>
  <c r="N30" i="1" s="1"/>
  <c r="S11" i="1"/>
  <c r="S14" i="1"/>
  <c r="Q13" i="1"/>
  <c r="AP10" i="1"/>
  <c r="X47" i="1"/>
  <c r="W46" i="1"/>
  <c r="AP44" i="1"/>
  <c r="AP53" i="1"/>
  <c r="AP54" i="1" s="1"/>
  <c r="U23" i="1"/>
  <c r="U3" i="1"/>
  <c r="U16" i="1" s="1"/>
  <c r="AT7" i="1"/>
  <c r="T36" i="1"/>
  <c r="T25" i="1"/>
  <c r="T12" i="1"/>
  <c r="T11" i="1" s="1"/>
  <c r="T24" i="1"/>
  <c r="T15" i="1"/>
  <c r="T8" i="1"/>
  <c r="T9" i="1"/>
  <c r="R13" i="1"/>
  <c r="S43" i="1"/>
  <c r="S37" i="1"/>
  <c r="W5" i="1"/>
  <c r="V6" i="1"/>
  <c r="S7" i="1"/>
  <c r="AT43" i="1"/>
  <c r="Y40" i="1"/>
  <c r="X39" i="1"/>
  <c r="X5" i="1" s="1"/>
  <c r="P29" i="2" l="1"/>
  <c r="P30" i="2" s="1"/>
  <c r="S11" i="2"/>
  <c r="AT10" i="2"/>
  <c r="U23" i="2"/>
  <c r="Q26" i="2"/>
  <c r="AP13" i="2"/>
  <c r="Y39" i="2"/>
  <c r="Y5" i="2" s="1"/>
  <c r="Z40" i="2"/>
  <c r="S7" i="2"/>
  <c r="S43" i="2"/>
  <c r="S37" i="2"/>
  <c r="V6" i="2"/>
  <c r="X47" i="2"/>
  <c r="W46" i="2"/>
  <c r="U36" i="2"/>
  <c r="U24" i="2"/>
  <c r="U8" i="2"/>
  <c r="U15" i="2"/>
  <c r="U9" i="2"/>
  <c r="U25" i="2"/>
  <c r="U12" i="2"/>
  <c r="U11" i="2" s="1"/>
  <c r="U16" i="2"/>
  <c r="S14" i="2"/>
  <c r="T36" i="2"/>
  <c r="T16" i="2"/>
  <c r="T12" i="2"/>
  <c r="T11" i="2" s="1"/>
  <c r="T24" i="2"/>
  <c r="T8" i="2"/>
  <c r="T25" i="2"/>
  <c r="T15" i="2"/>
  <c r="T9" i="2"/>
  <c r="AT44" i="2"/>
  <c r="AT53" i="2"/>
  <c r="AT54" i="2" s="1"/>
  <c r="W22" i="2"/>
  <c r="R13" i="2"/>
  <c r="Y19" i="2"/>
  <c r="X18" i="2"/>
  <c r="X4" i="2" s="1"/>
  <c r="T14" i="1"/>
  <c r="T43" i="1"/>
  <c r="T37" i="1"/>
  <c r="W6" i="1"/>
  <c r="W23" i="1" s="1"/>
  <c r="X22" i="1"/>
  <c r="W22" i="1"/>
  <c r="Y47" i="1"/>
  <c r="X46" i="1"/>
  <c r="S44" i="1"/>
  <c r="S53" i="1"/>
  <c r="S54" i="1" s="1"/>
  <c r="Q26" i="1"/>
  <c r="AP13" i="1"/>
  <c r="T7" i="1"/>
  <c r="T10" i="1" s="1"/>
  <c r="T13" i="1" s="1"/>
  <c r="S10" i="1"/>
  <c r="U36" i="1"/>
  <c r="U25" i="1"/>
  <c r="U12" i="1"/>
  <c r="U8" i="1"/>
  <c r="U24" i="1"/>
  <c r="U15" i="1"/>
  <c r="U9" i="1"/>
  <c r="AT10" i="1"/>
  <c r="Z40" i="1"/>
  <c r="Y39" i="1"/>
  <c r="Y5" i="1" s="1"/>
  <c r="AT44" i="1"/>
  <c r="AT53" i="1"/>
  <c r="AT54" i="1" s="1"/>
  <c r="V23" i="1"/>
  <c r="V3" i="1"/>
  <c r="V16" i="1" s="1"/>
  <c r="R26" i="1"/>
  <c r="T14" i="2" l="1"/>
  <c r="U7" i="2"/>
  <c r="U10" i="2" s="1"/>
  <c r="U13" i="2" s="1"/>
  <c r="T7" i="2"/>
  <c r="T10" i="2" s="1"/>
  <c r="T13" i="2" s="1"/>
  <c r="T26" i="2" s="1"/>
  <c r="T28" i="2" s="1"/>
  <c r="U14" i="2"/>
  <c r="U26" i="2" s="1"/>
  <c r="U28" i="2" s="1"/>
  <c r="Z19" i="2"/>
  <c r="Y18" i="2"/>
  <c r="Y4" i="2" s="1"/>
  <c r="W6" i="2"/>
  <c r="S44" i="2"/>
  <c r="S53" i="2"/>
  <c r="S54" i="2" s="1"/>
  <c r="Y47" i="2"/>
  <c r="X46" i="2"/>
  <c r="R26" i="2"/>
  <c r="T43" i="2"/>
  <c r="T37" i="2"/>
  <c r="S10" i="2"/>
  <c r="Z39" i="2"/>
  <c r="Z5" i="2" s="1"/>
  <c r="AA40" i="2"/>
  <c r="AT13" i="2"/>
  <c r="X22" i="2"/>
  <c r="V23" i="2"/>
  <c r="V3" i="2"/>
  <c r="U37" i="2"/>
  <c r="U43" i="2"/>
  <c r="Q27" i="2"/>
  <c r="Q28" i="2"/>
  <c r="AP26" i="2"/>
  <c r="T26" i="1"/>
  <c r="T28" i="1" s="1"/>
  <c r="U14" i="1"/>
  <c r="Z39" i="1"/>
  <c r="Z5" i="1" s="1"/>
  <c r="AA40" i="1"/>
  <c r="Y22" i="1"/>
  <c r="X6" i="1"/>
  <c r="V36" i="1"/>
  <c r="V25" i="1"/>
  <c r="V12" i="1"/>
  <c r="V11" i="1" s="1"/>
  <c r="V8" i="1"/>
  <c r="V24" i="1"/>
  <c r="V15" i="1"/>
  <c r="V9" i="1"/>
  <c r="W3" i="1"/>
  <c r="W16" i="1" s="1"/>
  <c r="T44" i="1"/>
  <c r="T53" i="1"/>
  <c r="T54" i="1" s="1"/>
  <c r="S13" i="1"/>
  <c r="U7" i="1"/>
  <c r="AT13" i="1"/>
  <c r="U43" i="1"/>
  <c r="U37" i="1"/>
  <c r="R28" i="1"/>
  <c r="R27" i="1"/>
  <c r="Z47" i="1"/>
  <c r="Y46" i="1"/>
  <c r="U11" i="1"/>
  <c r="Q28" i="1"/>
  <c r="Q27" i="1"/>
  <c r="AP26" i="1"/>
  <c r="T27" i="2" l="1"/>
  <c r="T29" i="2" s="1"/>
  <c r="T30" i="2" s="1"/>
  <c r="U27" i="2"/>
  <c r="U29" i="2" s="1"/>
  <c r="U30" i="2" s="1"/>
  <c r="Q29" i="2"/>
  <c r="Q30" i="2" s="1"/>
  <c r="T44" i="2"/>
  <c r="T53" i="2"/>
  <c r="T54" i="2" s="1"/>
  <c r="AP29" i="2"/>
  <c r="AP30" i="2" s="1"/>
  <c r="AT26" i="2"/>
  <c r="V36" i="2"/>
  <c r="V24" i="2"/>
  <c r="V25" i="2"/>
  <c r="V15" i="2"/>
  <c r="V16" i="2"/>
  <c r="V12" i="2"/>
  <c r="V9" i="2"/>
  <c r="V8" i="2"/>
  <c r="W23" i="2"/>
  <c r="W3" i="2"/>
  <c r="U44" i="2"/>
  <c r="U53" i="2"/>
  <c r="U54" i="2" s="1"/>
  <c r="AA39" i="2"/>
  <c r="AA5" i="2" s="1"/>
  <c r="AB40" i="2"/>
  <c r="AA19" i="2"/>
  <c r="Z18" i="2"/>
  <c r="Z4" i="2" s="1"/>
  <c r="Y46" i="2"/>
  <c r="Z47" i="2"/>
  <c r="R27" i="2"/>
  <c r="R28" i="2"/>
  <c r="Y22" i="2"/>
  <c r="S13" i="2"/>
  <c r="X6" i="2"/>
  <c r="Q29" i="1"/>
  <c r="Q30" i="1" s="1"/>
  <c r="T27" i="1"/>
  <c r="T29" i="1" s="1"/>
  <c r="T30" i="1" s="1"/>
  <c r="V7" i="1"/>
  <c r="V10" i="1" s="1"/>
  <c r="V13" i="1" s="1"/>
  <c r="R29" i="1"/>
  <c r="R30" i="1" s="1"/>
  <c r="U10" i="1"/>
  <c r="Z22" i="1"/>
  <c r="S26" i="1"/>
  <c r="V43" i="1"/>
  <c r="V37" i="1"/>
  <c r="W36" i="1"/>
  <c r="W8" i="1"/>
  <c r="W24" i="1"/>
  <c r="W15" i="1"/>
  <c r="W25" i="1"/>
  <c r="W12" i="1"/>
  <c r="W11" i="1" s="1"/>
  <c r="W9" i="1"/>
  <c r="AA39" i="1"/>
  <c r="AA5" i="1" s="1"/>
  <c r="AB40" i="1"/>
  <c r="AP29" i="1"/>
  <c r="AP30" i="1" s="1"/>
  <c r="AT26" i="1"/>
  <c r="Y6" i="1"/>
  <c r="V14" i="1"/>
  <c r="U44" i="1"/>
  <c r="U53" i="1"/>
  <c r="U54" i="1" s="1"/>
  <c r="X23" i="1"/>
  <c r="X3" i="1"/>
  <c r="X16" i="1" s="1"/>
  <c r="AA47" i="1"/>
  <c r="Z46" i="1"/>
  <c r="R29" i="2" l="1"/>
  <c r="R30" i="2" s="1"/>
  <c r="V37" i="2"/>
  <c r="V43" i="2"/>
  <c r="X23" i="2"/>
  <c r="X3" i="2"/>
  <c r="AT29" i="2"/>
  <c r="AT30" i="2" s="1"/>
  <c r="Z46" i="2"/>
  <c r="AA47" i="2"/>
  <c r="V11" i="2"/>
  <c r="AB19" i="2"/>
  <c r="AA18" i="2"/>
  <c r="AA4" i="2" s="1"/>
  <c r="AC40" i="2"/>
  <c r="AB39" i="2"/>
  <c r="AB5" i="2" s="1"/>
  <c r="S26" i="2"/>
  <c r="Y6" i="2"/>
  <c r="W36" i="2"/>
  <c r="W24" i="2"/>
  <c r="W25" i="2"/>
  <c r="W15" i="2"/>
  <c r="W9" i="2"/>
  <c r="W16" i="2"/>
  <c r="W12" i="2"/>
  <c r="W11" i="2" s="1"/>
  <c r="W8" i="2"/>
  <c r="V7" i="2"/>
  <c r="Z22" i="2"/>
  <c r="V14" i="2"/>
  <c r="V26" i="1"/>
  <c r="V27" i="1" s="1"/>
  <c r="W14" i="1"/>
  <c r="W7" i="1"/>
  <c r="W10" i="1" s="1"/>
  <c r="W13" i="1" s="1"/>
  <c r="Y23" i="1"/>
  <c r="Y3" i="1"/>
  <c r="Y16" i="1" s="1"/>
  <c r="U13" i="1"/>
  <c r="AT29" i="1"/>
  <c r="AT30" i="1" s="1"/>
  <c r="V44" i="1"/>
  <c r="V53" i="1"/>
  <c r="V54" i="1" s="1"/>
  <c r="AA22" i="1"/>
  <c r="AA46" i="1"/>
  <c r="AB47" i="1"/>
  <c r="Z6" i="1"/>
  <c r="X36" i="1"/>
  <c r="X24" i="1"/>
  <c r="X15" i="1"/>
  <c r="X9" i="1"/>
  <c r="X25" i="1"/>
  <c r="X12" i="1"/>
  <c r="X8" i="1"/>
  <c r="W37" i="1"/>
  <c r="W43" i="1"/>
  <c r="AB39" i="1"/>
  <c r="AB5" i="1" s="1"/>
  <c r="AC40" i="1"/>
  <c r="S27" i="1"/>
  <c r="S28" i="1"/>
  <c r="W14" i="2" l="1"/>
  <c r="Z6" i="2"/>
  <c r="AD40" i="2"/>
  <c r="AC39" i="2"/>
  <c r="AQ40" i="2"/>
  <c r="W7" i="2"/>
  <c r="W10" i="2" s="1"/>
  <c r="W13" i="2" s="1"/>
  <c r="W37" i="2"/>
  <c r="W43" i="2"/>
  <c r="AA22" i="2"/>
  <c r="X36" i="2"/>
  <c r="X25" i="2"/>
  <c r="X24" i="2"/>
  <c r="X15" i="2"/>
  <c r="X14" i="2" s="1"/>
  <c r="X9" i="2"/>
  <c r="X12" i="2"/>
  <c r="X11" i="2" s="1"/>
  <c r="X8" i="2"/>
  <c r="X16" i="2"/>
  <c r="V44" i="2"/>
  <c r="V53" i="2"/>
  <c r="V54" i="2" s="1"/>
  <c r="AA46" i="2"/>
  <c r="AB47" i="2"/>
  <c r="V10" i="2"/>
  <c r="S27" i="2"/>
  <c r="S28" i="2"/>
  <c r="AB18" i="2"/>
  <c r="AB4" i="2" s="1"/>
  <c r="AC19" i="2"/>
  <c r="Y23" i="2"/>
  <c r="Y3" i="2"/>
  <c r="V28" i="1"/>
  <c r="V29" i="1" s="1"/>
  <c r="V30" i="1" s="1"/>
  <c r="W26" i="1"/>
  <c r="W28" i="1" s="1"/>
  <c r="X7" i="1"/>
  <c r="X10" i="1" s="1"/>
  <c r="S29" i="1"/>
  <c r="S30" i="1" s="1"/>
  <c r="X14" i="1"/>
  <c r="X11" i="1"/>
  <c r="X13" i="1" s="1"/>
  <c r="Z23" i="1"/>
  <c r="Z3" i="1"/>
  <c r="Z16" i="1" s="1"/>
  <c r="AB46" i="1"/>
  <c r="AC47" i="1"/>
  <c r="W44" i="1"/>
  <c r="W53" i="1"/>
  <c r="W54" i="1" s="1"/>
  <c r="Y36" i="1"/>
  <c r="Y24" i="1"/>
  <c r="Y15" i="1"/>
  <c r="Y9" i="1"/>
  <c r="Y25" i="1"/>
  <c r="Y12" i="1"/>
  <c r="Y11" i="1" s="1"/>
  <c r="Y8" i="1"/>
  <c r="X37" i="1"/>
  <c r="X43" i="1"/>
  <c r="AC39" i="1"/>
  <c r="AD40" i="1"/>
  <c r="AQ40" i="1"/>
  <c r="AB22" i="1"/>
  <c r="AA6" i="1"/>
  <c r="U26" i="1"/>
  <c r="S29" i="2" l="1"/>
  <c r="S30" i="2" s="1"/>
  <c r="AC5" i="2"/>
  <c r="AQ5" i="2" s="1"/>
  <c r="AQ39" i="2"/>
  <c r="V13" i="2"/>
  <c r="X7" i="2"/>
  <c r="X10" i="2" s="1"/>
  <c r="X13" i="2" s="1"/>
  <c r="X26" i="2" s="1"/>
  <c r="AE40" i="2"/>
  <c r="AD39" i="2"/>
  <c r="Y36" i="2"/>
  <c r="Y25" i="2"/>
  <c r="Y16" i="2"/>
  <c r="Y12" i="2"/>
  <c r="Y11" i="2" s="1"/>
  <c r="Y15" i="2"/>
  <c r="Y24" i="2"/>
  <c r="Y9" i="2"/>
  <c r="Y8" i="2"/>
  <c r="Y7" i="2" s="1"/>
  <c r="X43" i="2"/>
  <c r="X37" i="2"/>
  <c r="AD19" i="2"/>
  <c r="AC18" i="2"/>
  <c r="AQ19" i="2"/>
  <c r="Z23" i="2"/>
  <c r="Z3" i="2"/>
  <c r="AA6" i="2"/>
  <c r="W26" i="2"/>
  <c r="AU40" i="2"/>
  <c r="AB22" i="2"/>
  <c r="AB46" i="2"/>
  <c r="AC47" i="2"/>
  <c r="W44" i="2"/>
  <c r="W53" i="2"/>
  <c r="W54" i="2" s="1"/>
  <c r="W27" i="1"/>
  <c r="W29" i="1" s="1"/>
  <c r="W30" i="1" s="1"/>
  <c r="X26" i="1"/>
  <c r="AC46" i="1"/>
  <c r="AD47" i="1"/>
  <c r="AQ47" i="1"/>
  <c r="Z36" i="1"/>
  <c r="Z24" i="1"/>
  <c r="Z15" i="1"/>
  <c r="Z9" i="1"/>
  <c r="Z25" i="1"/>
  <c r="Z12" i="1"/>
  <c r="Z11" i="1" s="1"/>
  <c r="Z8" i="1"/>
  <c r="AE40" i="1"/>
  <c r="AD39" i="1"/>
  <c r="X44" i="1"/>
  <c r="X53" i="1"/>
  <c r="X54" i="1" s="1"/>
  <c r="AC5" i="1"/>
  <c r="AQ39" i="1"/>
  <c r="AB6" i="1"/>
  <c r="U27" i="1"/>
  <c r="U28" i="1"/>
  <c r="AA23" i="1"/>
  <c r="AA3" i="1"/>
  <c r="AA16" i="1" s="1"/>
  <c r="Y37" i="1"/>
  <c r="Y43" i="1"/>
  <c r="Y14" i="1"/>
  <c r="Y7" i="1"/>
  <c r="Y10" i="1" s="1"/>
  <c r="AU40" i="1"/>
  <c r="AB6" i="2" l="1"/>
  <c r="Z36" i="2"/>
  <c r="Z25" i="2"/>
  <c r="Z24" i="2"/>
  <c r="Z16" i="2"/>
  <c r="Z8" i="2"/>
  <c r="Z15" i="2"/>
  <c r="Z14" i="2" s="1"/>
  <c r="Z9" i="2"/>
  <c r="Z12" i="2"/>
  <c r="Z11" i="2" s="1"/>
  <c r="Y43" i="2"/>
  <c r="Y37" i="2"/>
  <c r="AD5" i="2"/>
  <c r="Y10" i="2"/>
  <c r="W28" i="2"/>
  <c r="W27" i="2"/>
  <c r="W29" i="2" s="1"/>
  <c r="W30" i="2" s="1"/>
  <c r="AE19" i="2"/>
  <c r="AE18" i="2" s="1"/>
  <c r="AE4" i="2" s="1"/>
  <c r="AD18" i="2"/>
  <c r="X27" i="2"/>
  <c r="X28" i="2"/>
  <c r="AU5" i="2"/>
  <c r="AU19" i="2"/>
  <c r="AA23" i="2"/>
  <c r="AA3" i="2"/>
  <c r="AU39" i="2"/>
  <c r="AQ41" i="2"/>
  <c r="Y14" i="2"/>
  <c r="AF40" i="2"/>
  <c r="AE39" i="2"/>
  <c r="AE5" i="2" s="1"/>
  <c r="AC4" i="2"/>
  <c r="AQ18" i="2"/>
  <c r="AD47" i="2"/>
  <c r="AC46" i="2"/>
  <c r="AQ47" i="2"/>
  <c r="X44" i="2"/>
  <c r="X53" i="2"/>
  <c r="X54" i="2" s="1"/>
  <c r="V26" i="2"/>
  <c r="U29" i="1"/>
  <c r="U30" i="1" s="1"/>
  <c r="Z7" i="1"/>
  <c r="Z10" i="1" s="1"/>
  <c r="Z13" i="1" s="1"/>
  <c r="Z14" i="1"/>
  <c r="Y44" i="1"/>
  <c r="Y53" i="1"/>
  <c r="Y54" i="1" s="1"/>
  <c r="AA36" i="1"/>
  <c r="AA25" i="1"/>
  <c r="AA8" i="1"/>
  <c r="AA12" i="1"/>
  <c r="AA11" i="1" s="1"/>
  <c r="AA9" i="1"/>
  <c r="AA24" i="1"/>
  <c r="AA15" i="1"/>
  <c r="AD46" i="1"/>
  <c r="AE47" i="1"/>
  <c r="AC6" i="1"/>
  <c r="AQ46" i="1"/>
  <c r="AB23" i="1"/>
  <c r="AB3" i="1"/>
  <c r="AB16" i="1" s="1"/>
  <c r="Z43" i="1"/>
  <c r="Z37" i="1"/>
  <c r="AU47" i="1"/>
  <c r="AF40" i="1"/>
  <c r="AE39" i="1"/>
  <c r="AE5" i="1" s="1"/>
  <c r="AU39" i="1"/>
  <c r="AQ41" i="1"/>
  <c r="AC22" i="1"/>
  <c r="AQ22" i="1" s="1"/>
  <c r="AQ5" i="1"/>
  <c r="Y13" i="1"/>
  <c r="AD5" i="1"/>
  <c r="X28" i="1"/>
  <c r="X27" i="1"/>
  <c r="Z7" i="2" l="1"/>
  <c r="Z10" i="2" s="1"/>
  <c r="Z13" i="2" s="1"/>
  <c r="Z26" i="2" s="1"/>
  <c r="Z27" i="2" s="1"/>
  <c r="X29" i="2"/>
  <c r="X30" i="2" s="1"/>
  <c r="AU18" i="2"/>
  <c r="AS18" i="2"/>
  <c r="AA36" i="2"/>
  <c r="AA25" i="2"/>
  <c r="AA24" i="2"/>
  <c r="AA16" i="2"/>
  <c r="AA12" i="2"/>
  <c r="AA11" i="2" s="1"/>
  <c r="AA15" i="2"/>
  <c r="AA9" i="2"/>
  <c r="AA8" i="2"/>
  <c r="AA7" i="2" s="1"/>
  <c r="AA10" i="2" s="1"/>
  <c r="AC22" i="2"/>
  <c r="AQ22" i="2" s="1"/>
  <c r="AC3" i="2"/>
  <c r="AQ4" i="2"/>
  <c r="AR18" i="2"/>
  <c r="AV18" i="2" s="1"/>
  <c r="AD4" i="2"/>
  <c r="V28" i="2"/>
  <c r="V27" i="2"/>
  <c r="AE22" i="2"/>
  <c r="AF39" i="2"/>
  <c r="AF5" i="2" s="1"/>
  <c r="AG40" i="2"/>
  <c r="AR19" i="2"/>
  <c r="Y44" i="2"/>
  <c r="Y53" i="2"/>
  <c r="Y54" i="2" s="1"/>
  <c r="AU47" i="2"/>
  <c r="AC6" i="2"/>
  <c r="AQ46" i="2"/>
  <c r="Z43" i="2"/>
  <c r="Z37" i="2"/>
  <c r="AE47" i="2"/>
  <c r="AD46" i="2"/>
  <c r="AU41" i="2"/>
  <c r="Y13" i="2"/>
  <c r="AB23" i="2"/>
  <c r="AB3" i="2"/>
  <c r="X29" i="1"/>
  <c r="X30" i="1" s="1"/>
  <c r="AA14" i="1"/>
  <c r="AA7" i="1"/>
  <c r="AA10" i="1" s="1"/>
  <c r="AA13" i="1" s="1"/>
  <c r="Z26" i="1"/>
  <c r="Z44" i="1"/>
  <c r="Z53" i="1"/>
  <c r="Z54" i="1" s="1"/>
  <c r="AD6" i="1"/>
  <c r="AU41" i="1"/>
  <c r="AB36" i="1"/>
  <c r="AB25" i="1"/>
  <c r="AB12" i="1"/>
  <c r="AB11" i="1" s="1"/>
  <c r="AB15" i="1"/>
  <c r="AB24" i="1"/>
  <c r="AB9" i="1"/>
  <c r="AB8" i="1"/>
  <c r="AA43" i="1"/>
  <c r="AA37" i="1"/>
  <c r="AC23" i="1"/>
  <c r="AQ23" i="1" s="1"/>
  <c r="AQ6" i="1"/>
  <c r="AE22" i="1"/>
  <c r="Y26" i="1"/>
  <c r="AG40" i="1"/>
  <c r="AF39" i="1"/>
  <c r="AF47" i="1"/>
  <c r="AE46" i="1"/>
  <c r="AD22" i="1"/>
  <c r="AQ51" i="1"/>
  <c r="AU46" i="1"/>
  <c r="AU5" i="1"/>
  <c r="AU22" i="1"/>
  <c r="AC3" i="1"/>
  <c r="AC16" i="1" s="1"/>
  <c r="AW18" i="2" l="1"/>
  <c r="V29" i="2"/>
  <c r="V30" i="2" s="1"/>
  <c r="Z28" i="2"/>
  <c r="Z29" i="2" s="1"/>
  <c r="Z30" i="2" s="1"/>
  <c r="AA13" i="2"/>
  <c r="AQ51" i="2"/>
  <c r="AU46" i="2"/>
  <c r="AU22" i="2"/>
  <c r="AA14" i="2"/>
  <c r="AB36" i="2"/>
  <c r="AB24" i="2"/>
  <c r="AB16" i="2"/>
  <c r="AB12" i="2"/>
  <c r="AB11" i="2" s="1"/>
  <c r="AB8" i="2"/>
  <c r="AB9" i="2"/>
  <c r="AB15" i="2"/>
  <c r="AB25" i="2"/>
  <c r="AF47" i="2"/>
  <c r="AE46" i="2"/>
  <c r="AD22" i="2"/>
  <c r="AR4" i="2"/>
  <c r="AV4" i="2" s="1"/>
  <c r="AD6" i="2"/>
  <c r="AD3" i="2" s="1"/>
  <c r="AF22" i="2"/>
  <c r="Y26" i="2"/>
  <c r="AV19" i="2"/>
  <c r="AW19" i="2" s="1"/>
  <c r="AS19" i="2"/>
  <c r="AC36" i="2"/>
  <c r="AC24" i="2"/>
  <c r="AC8" i="2"/>
  <c r="AC25" i="2"/>
  <c r="AC15" i="2"/>
  <c r="AC9" i="2"/>
  <c r="AC12" i="2"/>
  <c r="AC16" i="2"/>
  <c r="AQ3" i="2"/>
  <c r="AC23" i="2"/>
  <c r="AQ23" i="2" s="1"/>
  <c r="AQ6" i="2"/>
  <c r="AA43" i="2"/>
  <c r="AA37" i="2"/>
  <c r="AG39" i="2"/>
  <c r="AG5" i="2" s="1"/>
  <c r="AH40" i="2"/>
  <c r="Z44" i="2"/>
  <c r="Z53" i="2"/>
  <c r="Z54" i="2" s="1"/>
  <c r="AU4" i="2"/>
  <c r="AS4" i="2"/>
  <c r="Z28" i="1"/>
  <c r="Z27" i="1"/>
  <c r="AB14" i="1"/>
  <c r="AB7" i="1"/>
  <c r="AB10" i="1" s="1"/>
  <c r="AB13" i="1" s="1"/>
  <c r="AA26" i="1"/>
  <c r="AE6" i="1"/>
  <c r="AD23" i="1"/>
  <c r="AU51" i="1"/>
  <c r="AB43" i="1"/>
  <c r="AB37" i="1"/>
  <c r="AG47" i="1"/>
  <c r="AF46" i="1"/>
  <c r="AC36" i="1"/>
  <c r="AC25" i="1"/>
  <c r="AQ25" i="1" s="1"/>
  <c r="AQ16" i="1"/>
  <c r="AC12" i="1"/>
  <c r="AC8" i="1"/>
  <c r="AC24" i="1"/>
  <c r="AQ24" i="1" s="1"/>
  <c r="AC15" i="1"/>
  <c r="AC9" i="1"/>
  <c r="AQ9" i="1" s="1"/>
  <c r="AQ3" i="1"/>
  <c r="AH40" i="1"/>
  <c r="AG39" i="1"/>
  <c r="AG5" i="1" s="1"/>
  <c r="AU6" i="1"/>
  <c r="AU23" i="1"/>
  <c r="AF5" i="1"/>
  <c r="AA44" i="1"/>
  <c r="AA53" i="1"/>
  <c r="AA54" i="1" s="1"/>
  <c r="Y28" i="1"/>
  <c r="Y27" i="1"/>
  <c r="AD3" i="1"/>
  <c r="AD16" i="1" s="1"/>
  <c r="AQ25" i="2" l="1"/>
  <c r="AW4" i="2"/>
  <c r="AQ24" i="2"/>
  <c r="AU24" i="2" s="1"/>
  <c r="AU6" i="2"/>
  <c r="AB7" i="2"/>
  <c r="AB10" i="2" s="1"/>
  <c r="AB13" i="2" s="1"/>
  <c r="AU23" i="2"/>
  <c r="AC7" i="2"/>
  <c r="AQ8" i="2"/>
  <c r="AU25" i="2"/>
  <c r="AD23" i="2"/>
  <c r="AU51" i="2"/>
  <c r="AC14" i="2"/>
  <c r="AQ15" i="2"/>
  <c r="AD36" i="2"/>
  <c r="AD24" i="2"/>
  <c r="AD25" i="2"/>
  <c r="AD15" i="2"/>
  <c r="AD16" i="2"/>
  <c r="AD12" i="2"/>
  <c r="AD8" i="2"/>
  <c r="AD9" i="2"/>
  <c r="AC37" i="2"/>
  <c r="AC43" i="2"/>
  <c r="AQ36" i="2"/>
  <c r="AE6" i="2"/>
  <c r="AH39" i="2"/>
  <c r="AH5" i="2" s="1"/>
  <c r="AI40" i="2"/>
  <c r="AQ16" i="2"/>
  <c r="AG47" i="2"/>
  <c r="AF46" i="2"/>
  <c r="Y27" i="2"/>
  <c r="Y28" i="2"/>
  <c r="AQ27" i="2"/>
  <c r="AQ32" i="2"/>
  <c r="AQ28" i="2"/>
  <c r="AU3" i="2"/>
  <c r="AG22" i="2"/>
  <c r="AC11" i="2"/>
  <c r="AQ11" i="2" s="1"/>
  <c r="AQ12" i="2"/>
  <c r="AB43" i="2"/>
  <c r="AB37" i="2"/>
  <c r="AA44" i="2"/>
  <c r="AA53" i="2"/>
  <c r="AA54" i="2" s="1"/>
  <c r="AQ9" i="2"/>
  <c r="AB14" i="2"/>
  <c r="AA26" i="2"/>
  <c r="Y29" i="1"/>
  <c r="Y30" i="1" s="1"/>
  <c r="AB26" i="1"/>
  <c r="AB27" i="1" s="1"/>
  <c r="Z29" i="1"/>
  <c r="Z30" i="1" s="1"/>
  <c r="AA28" i="1"/>
  <c r="AA27" i="1"/>
  <c r="AU9" i="1"/>
  <c r="AC43" i="1"/>
  <c r="AC37" i="1"/>
  <c r="AQ37" i="1" s="1"/>
  <c r="AU37" i="1" s="1"/>
  <c r="AQ36" i="1"/>
  <c r="AQ34" i="1" s="1"/>
  <c r="AF22" i="1"/>
  <c r="AU25" i="1"/>
  <c r="AC14" i="1"/>
  <c r="AQ14" i="1" s="1"/>
  <c r="AQ15" i="1"/>
  <c r="AU24" i="1"/>
  <c r="AF6" i="1"/>
  <c r="AF3" i="1" s="1"/>
  <c r="AF16" i="1" s="1"/>
  <c r="AC7" i="1"/>
  <c r="AQ8" i="1"/>
  <c r="AH47" i="1"/>
  <c r="AG46" i="1"/>
  <c r="AE23" i="1"/>
  <c r="AE3" i="1"/>
  <c r="AE16" i="1" s="1"/>
  <c r="AC11" i="1"/>
  <c r="AQ11" i="1" s="1"/>
  <c r="AQ12" i="1"/>
  <c r="AB44" i="1"/>
  <c r="AB53" i="1"/>
  <c r="AB54" i="1" s="1"/>
  <c r="AQ32" i="1"/>
  <c r="AQ27" i="1"/>
  <c r="AU3" i="1"/>
  <c r="AQ28" i="1"/>
  <c r="AD36" i="1"/>
  <c r="AD25" i="1"/>
  <c r="AD12" i="1"/>
  <c r="AD8" i="1"/>
  <c r="AD24" i="1"/>
  <c r="AD15" i="1"/>
  <c r="AD9" i="1"/>
  <c r="AG22" i="1"/>
  <c r="AH39" i="1"/>
  <c r="AH5" i="1" s="1"/>
  <c r="AI40" i="1"/>
  <c r="AU16" i="1"/>
  <c r="Y29" i="2" l="1"/>
  <c r="Y30" i="2" s="1"/>
  <c r="AU27" i="2"/>
  <c r="AU11" i="2"/>
  <c r="AU16" i="2"/>
  <c r="AQ37" i="2"/>
  <c r="AU37" i="2" s="1"/>
  <c r="AU12" i="2"/>
  <c r="AQ43" i="2"/>
  <c r="AU36" i="2"/>
  <c r="AU34" i="2" s="1"/>
  <c r="AQ7" i="2"/>
  <c r="AC10" i="2"/>
  <c r="AU9" i="2"/>
  <c r="AC44" i="2"/>
  <c r="AC53" i="2"/>
  <c r="AC54" i="2" s="1"/>
  <c r="AI39" i="2"/>
  <c r="AJ40" i="2"/>
  <c r="AD37" i="2"/>
  <c r="AD43" i="2"/>
  <c r="AB26" i="2"/>
  <c r="AF6" i="2"/>
  <c r="AQ34" i="2"/>
  <c r="AG46" i="2"/>
  <c r="AH47" i="2"/>
  <c r="AD14" i="2"/>
  <c r="AU32" i="2"/>
  <c r="AH22" i="2"/>
  <c r="AD7" i="2"/>
  <c r="AU15" i="2"/>
  <c r="AU28" i="2"/>
  <c r="AE23" i="2"/>
  <c r="AE3" i="2"/>
  <c r="AQ14" i="2"/>
  <c r="AA27" i="2"/>
  <c r="AA28" i="2"/>
  <c r="AB44" i="2"/>
  <c r="AB53" i="2"/>
  <c r="AB54" i="2" s="1"/>
  <c r="AD11" i="2"/>
  <c r="AU8" i="2"/>
  <c r="AB28" i="1"/>
  <c r="AB29" i="1" s="1"/>
  <c r="AB30" i="1" s="1"/>
  <c r="AA29" i="1"/>
  <c r="AA30" i="1" s="1"/>
  <c r="AG6" i="1"/>
  <c r="AU27" i="1"/>
  <c r="AU15" i="1"/>
  <c r="AD11" i="1"/>
  <c r="AU14" i="1"/>
  <c r="AQ7" i="1"/>
  <c r="AC10" i="1"/>
  <c r="AD14" i="1"/>
  <c r="AU12" i="1"/>
  <c r="AC44" i="1"/>
  <c r="AC53" i="1"/>
  <c r="AC54" i="1" s="1"/>
  <c r="AI47" i="1"/>
  <c r="AH46" i="1"/>
  <c r="AQ43" i="1"/>
  <c r="AU36" i="1"/>
  <c r="AD43" i="1"/>
  <c r="AD37" i="1"/>
  <c r="AI39" i="1"/>
  <c r="AJ40" i="1"/>
  <c r="AU28" i="1"/>
  <c r="AU11" i="1"/>
  <c r="AF23" i="1"/>
  <c r="AF36" i="1"/>
  <c r="AF24" i="1"/>
  <c r="AF15" i="1"/>
  <c r="AF9" i="1"/>
  <c r="AF25" i="1"/>
  <c r="AF12" i="1"/>
  <c r="AF11" i="1" s="1"/>
  <c r="AF8" i="1"/>
  <c r="AU8" i="1"/>
  <c r="AH22" i="1"/>
  <c r="AD7" i="1"/>
  <c r="AU32" i="1"/>
  <c r="AE36" i="1"/>
  <c r="AE8" i="1"/>
  <c r="AE24" i="1"/>
  <c r="AE25" i="1"/>
  <c r="AE12" i="1"/>
  <c r="AE11" i="1" s="1"/>
  <c r="AE9" i="1"/>
  <c r="AE15" i="1"/>
  <c r="AA29" i="2" l="1"/>
  <c r="AA30" i="2" s="1"/>
  <c r="AG6" i="2"/>
  <c r="AB28" i="2"/>
  <c r="AB27" i="2"/>
  <c r="AH46" i="2"/>
  <c r="AI47" i="2"/>
  <c r="AF23" i="2"/>
  <c r="AF3" i="2"/>
  <c r="AK40" i="2"/>
  <c r="AJ39" i="2"/>
  <c r="AJ5" i="2" s="1"/>
  <c r="AC13" i="2"/>
  <c r="AQ10" i="2"/>
  <c r="AQ44" i="2"/>
  <c r="AQ53" i="2"/>
  <c r="AQ54" i="2" s="1"/>
  <c r="AU14" i="2"/>
  <c r="AD10" i="2"/>
  <c r="AI5" i="2"/>
  <c r="AU7" i="2"/>
  <c r="AU43" i="2"/>
  <c r="AD44" i="2"/>
  <c r="AD53" i="2"/>
  <c r="AD54" i="2" s="1"/>
  <c r="AE36" i="2"/>
  <c r="AE24" i="2"/>
  <c r="AE25" i="2"/>
  <c r="AE15" i="2"/>
  <c r="AE9" i="2"/>
  <c r="AE16" i="2"/>
  <c r="AE12" i="2"/>
  <c r="AE8" i="2"/>
  <c r="AE7" i="1"/>
  <c r="AE10" i="1" s="1"/>
  <c r="AE13" i="1" s="1"/>
  <c r="AE14" i="1"/>
  <c r="AD44" i="1"/>
  <c r="AD53" i="1"/>
  <c r="AD54" i="1" s="1"/>
  <c r="AF14" i="1"/>
  <c r="AJ39" i="1"/>
  <c r="AJ5" i="1" s="1"/>
  <c r="AK40" i="1"/>
  <c r="AG23" i="1"/>
  <c r="AG3" i="1"/>
  <c r="AG16" i="1" s="1"/>
  <c r="AU43" i="1"/>
  <c r="AU34" i="1"/>
  <c r="AD10" i="1"/>
  <c r="AF37" i="1"/>
  <c r="AF43" i="1"/>
  <c r="AI5" i="1"/>
  <c r="AH6" i="1"/>
  <c r="AC13" i="1"/>
  <c r="AQ10" i="1"/>
  <c r="AE37" i="1"/>
  <c r="AE43" i="1"/>
  <c r="AQ44" i="1"/>
  <c r="AQ53" i="1"/>
  <c r="AQ54" i="1" s="1"/>
  <c r="AF7" i="1"/>
  <c r="AF10" i="1" s="1"/>
  <c r="AF13" i="1" s="1"/>
  <c r="AI46" i="1"/>
  <c r="AJ47" i="1"/>
  <c r="AU7" i="1"/>
  <c r="AB29" i="2" l="1"/>
  <c r="AB30" i="2" s="1"/>
  <c r="AD13" i="2"/>
  <c r="AU44" i="2"/>
  <c r="AU53" i="2"/>
  <c r="AU54" i="2" s="1"/>
  <c r="AU10" i="2"/>
  <c r="AC26" i="2"/>
  <c r="AQ13" i="2"/>
  <c r="AI46" i="2"/>
  <c r="AJ47" i="2"/>
  <c r="AG23" i="2"/>
  <c r="AG3" i="2"/>
  <c r="AE7" i="2"/>
  <c r="AJ22" i="2"/>
  <c r="AE11" i="2"/>
  <c r="AL40" i="2"/>
  <c r="AK39" i="2"/>
  <c r="AK5" i="2" s="1"/>
  <c r="AE14" i="2"/>
  <c r="AE37" i="2"/>
  <c r="AE43" i="2"/>
  <c r="AH6" i="2"/>
  <c r="AI22" i="2"/>
  <c r="AF36" i="2"/>
  <c r="AF25" i="2"/>
  <c r="AF15" i="2"/>
  <c r="AF9" i="2"/>
  <c r="AF24" i="2"/>
  <c r="AF16" i="2"/>
  <c r="AF8" i="2"/>
  <c r="AF12" i="2"/>
  <c r="AF11" i="2" s="1"/>
  <c r="AF26" i="1"/>
  <c r="AF27" i="1" s="1"/>
  <c r="AE26" i="1"/>
  <c r="AI6" i="1"/>
  <c r="AI23" i="1" s="1"/>
  <c r="AJ22" i="1"/>
  <c r="AD13" i="1"/>
  <c r="AU44" i="1"/>
  <c r="AU53" i="1"/>
  <c r="AU54" i="1" s="1"/>
  <c r="AC26" i="1"/>
  <c r="AQ13" i="1"/>
  <c r="AG36" i="1"/>
  <c r="AG24" i="1"/>
  <c r="AG15" i="1"/>
  <c r="AG9" i="1"/>
  <c r="AG25" i="1"/>
  <c r="AG12" i="1"/>
  <c r="AG8" i="1"/>
  <c r="AF44" i="1"/>
  <c r="AF53" i="1"/>
  <c r="AF54" i="1" s="1"/>
  <c r="AU10" i="1"/>
  <c r="AH23" i="1"/>
  <c r="AH3" i="1"/>
  <c r="AH16" i="1" s="1"/>
  <c r="AE44" i="1"/>
  <c r="AE53" i="1"/>
  <c r="AE54" i="1" s="1"/>
  <c r="AJ46" i="1"/>
  <c r="AK47" i="1"/>
  <c r="AI22" i="1"/>
  <c r="AK39" i="1"/>
  <c r="AK5" i="1" s="1"/>
  <c r="AL40" i="1"/>
  <c r="AF7" i="2" l="1"/>
  <c r="AF10" i="2" s="1"/>
  <c r="AF13" i="2" s="1"/>
  <c r="AG36" i="2"/>
  <c r="AG25" i="2"/>
  <c r="AG16" i="2"/>
  <c r="AG12" i="2"/>
  <c r="AG24" i="2"/>
  <c r="AG8" i="2"/>
  <c r="AG15" i="2"/>
  <c r="AG9" i="2"/>
  <c r="AJ46" i="2"/>
  <c r="AK47" i="2"/>
  <c r="AF43" i="2"/>
  <c r="AF37" i="2"/>
  <c r="AI6" i="2"/>
  <c r="AH23" i="2"/>
  <c r="AH3" i="2"/>
  <c r="AU13" i="2"/>
  <c r="AD26" i="2"/>
  <c r="AE10" i="2"/>
  <c r="AC28" i="2"/>
  <c r="AC27" i="2"/>
  <c r="AQ26" i="2"/>
  <c r="AE44" i="2"/>
  <c r="AE53" i="2"/>
  <c r="AE54" i="2" s="1"/>
  <c r="AF14" i="2"/>
  <c r="AF26" i="2" s="1"/>
  <c r="AK22" i="2"/>
  <c r="AM40" i="2"/>
  <c r="AL39" i="2"/>
  <c r="AL5" i="2" s="1"/>
  <c r="AI3" i="1"/>
  <c r="AI16" i="1" s="1"/>
  <c r="AF28" i="1"/>
  <c r="AF29" i="1" s="1"/>
  <c r="AF30" i="1" s="1"/>
  <c r="AE28" i="1"/>
  <c r="AE27" i="1"/>
  <c r="AG11" i="1"/>
  <c r="AG37" i="1"/>
  <c r="AG43" i="1"/>
  <c r="AK46" i="1"/>
  <c r="AL47" i="1"/>
  <c r="AU13" i="1"/>
  <c r="AJ6" i="1"/>
  <c r="AC27" i="1"/>
  <c r="AC28" i="1"/>
  <c r="AQ26" i="1"/>
  <c r="AK22" i="1"/>
  <c r="AD26" i="1"/>
  <c r="AM40" i="1"/>
  <c r="AL39" i="1"/>
  <c r="AL5" i="1" s="1"/>
  <c r="AG7" i="1"/>
  <c r="AG14" i="1"/>
  <c r="AH36" i="1"/>
  <c r="AH24" i="1"/>
  <c r="AH15" i="1"/>
  <c r="AH9" i="1"/>
  <c r="AH25" i="1"/>
  <c r="AH12" i="1"/>
  <c r="AH11" i="1" s="1"/>
  <c r="AH8" i="1"/>
  <c r="AC29" i="2" l="1"/>
  <c r="AC30" i="2" s="1"/>
  <c r="AF27" i="2"/>
  <c r="AF28" i="2"/>
  <c r="AL22" i="2"/>
  <c r="AQ29" i="2"/>
  <c r="AQ30" i="2" s="1"/>
  <c r="AU26" i="2"/>
  <c r="AD28" i="2"/>
  <c r="AD27" i="2"/>
  <c r="AG11" i="2"/>
  <c r="AH36" i="2"/>
  <c r="AH25" i="2"/>
  <c r="AH24" i="2"/>
  <c r="AH16" i="2"/>
  <c r="AH8" i="2"/>
  <c r="AH15" i="2"/>
  <c r="AH9" i="2"/>
  <c r="AH12" i="2"/>
  <c r="AH11" i="2" s="1"/>
  <c r="AL47" i="2"/>
  <c r="AK46" i="2"/>
  <c r="AG7" i="2"/>
  <c r="AI23" i="2"/>
  <c r="AI3" i="2"/>
  <c r="AN40" i="2"/>
  <c r="AM39" i="2"/>
  <c r="AM5" i="2" s="1"/>
  <c r="AF44" i="2"/>
  <c r="AF53" i="2"/>
  <c r="AF54" i="2" s="1"/>
  <c r="AG43" i="2"/>
  <c r="AG37" i="2"/>
  <c r="AG14" i="2"/>
  <c r="AE13" i="2"/>
  <c r="AJ6" i="2"/>
  <c r="AI15" i="1"/>
  <c r="AI24" i="1"/>
  <c r="AI12" i="1"/>
  <c r="AI11" i="1" s="1"/>
  <c r="AI9" i="1"/>
  <c r="AI8" i="1"/>
  <c r="AI25" i="1"/>
  <c r="AI36" i="1"/>
  <c r="AI43" i="1" s="1"/>
  <c r="AE29" i="1"/>
  <c r="AE30" i="1" s="1"/>
  <c r="AC29" i="1"/>
  <c r="AC30" i="1" s="1"/>
  <c r="AN40" i="1"/>
  <c r="AM39" i="1"/>
  <c r="AM5" i="1" s="1"/>
  <c r="AD27" i="1"/>
  <c r="AD28" i="1"/>
  <c r="AJ23" i="1"/>
  <c r="AJ3" i="1"/>
  <c r="AJ16" i="1" s="1"/>
  <c r="AG44" i="1"/>
  <c r="AG53" i="1"/>
  <c r="AG54" i="1" s="1"/>
  <c r="AH14" i="1"/>
  <c r="AK6" i="1"/>
  <c r="AH43" i="1"/>
  <c r="AH37" i="1"/>
  <c r="AG10" i="1"/>
  <c r="AH7" i="1"/>
  <c r="AH10" i="1" s="1"/>
  <c r="AH13" i="1" s="1"/>
  <c r="AL22" i="1"/>
  <c r="AQ29" i="1"/>
  <c r="AQ30" i="1" s="1"/>
  <c r="AU26" i="1"/>
  <c r="AL46" i="1"/>
  <c r="AM47" i="1"/>
  <c r="AF29" i="2" l="1"/>
  <c r="AF30" i="2" s="1"/>
  <c r="AD29" i="2"/>
  <c r="AD30" i="2" s="1"/>
  <c r="AG44" i="2"/>
  <c r="AG53" i="2"/>
  <c r="AG54" i="2" s="1"/>
  <c r="AG10" i="2"/>
  <c r="AI36" i="2"/>
  <c r="AI25" i="2"/>
  <c r="AI24" i="2"/>
  <c r="AI16" i="2"/>
  <c r="AI12" i="2"/>
  <c r="AI15" i="2"/>
  <c r="AI9" i="2"/>
  <c r="AI8" i="2"/>
  <c r="AI7" i="2" s="1"/>
  <c r="AI10" i="2" s="1"/>
  <c r="AH7" i="2"/>
  <c r="AH10" i="2" s="1"/>
  <c r="AH13" i="2" s="1"/>
  <c r="AK6" i="2"/>
  <c r="AJ23" i="2"/>
  <c r="AJ3" i="2"/>
  <c r="AM47" i="2"/>
  <c r="AL46" i="2"/>
  <c r="AH14" i="2"/>
  <c r="AM22" i="2"/>
  <c r="AH43" i="2"/>
  <c r="AH37" i="2"/>
  <c r="AN39" i="2"/>
  <c r="AN5" i="2" s="1"/>
  <c r="AO40" i="2"/>
  <c r="AE26" i="2"/>
  <c r="AU29" i="2"/>
  <c r="AU30" i="2" s="1"/>
  <c r="AI14" i="1"/>
  <c r="AI7" i="1"/>
  <c r="AI10" i="1" s="1"/>
  <c r="AI13" i="1" s="1"/>
  <c r="AI37" i="1"/>
  <c r="AD29" i="1"/>
  <c r="AD30" i="1" s="1"/>
  <c r="AH26" i="1"/>
  <c r="AH27" i="1" s="1"/>
  <c r="AH44" i="1"/>
  <c r="AH53" i="1"/>
  <c r="AH54" i="1" s="1"/>
  <c r="AO40" i="1"/>
  <c r="AN39" i="1"/>
  <c r="AN5" i="1" s="1"/>
  <c r="AI44" i="1"/>
  <c r="AI53" i="1"/>
  <c r="AI54" i="1" s="1"/>
  <c r="AN47" i="1"/>
  <c r="AM46" i="1"/>
  <c r="AJ36" i="1"/>
  <c r="AJ25" i="1"/>
  <c r="AJ12" i="1"/>
  <c r="AJ15" i="1"/>
  <c r="AJ24" i="1"/>
  <c r="AJ9" i="1"/>
  <c r="AJ8" i="1"/>
  <c r="AU29" i="1"/>
  <c r="AU30" i="1" s="1"/>
  <c r="AM22" i="1"/>
  <c r="AL6" i="1"/>
  <c r="AK23" i="1"/>
  <c r="AK3" i="1"/>
  <c r="AK16" i="1" s="1"/>
  <c r="AG13" i="1"/>
  <c r="AI14" i="2" l="1"/>
  <c r="AH26" i="2"/>
  <c r="AH27" i="2" s="1"/>
  <c r="AN22" i="2"/>
  <c r="AL6" i="2"/>
  <c r="AN47" i="2"/>
  <c r="AM46" i="2"/>
  <c r="AI43" i="2"/>
  <c r="AI37" i="2"/>
  <c r="AH44" i="2"/>
  <c r="AH53" i="2"/>
  <c r="AH54" i="2" s="1"/>
  <c r="AJ24" i="2"/>
  <c r="AJ36" i="2"/>
  <c r="AJ16" i="2"/>
  <c r="AJ12" i="2"/>
  <c r="AJ11" i="2" s="1"/>
  <c r="AJ8" i="2"/>
  <c r="AJ25" i="2"/>
  <c r="AJ9" i="2"/>
  <c r="AJ15" i="2"/>
  <c r="AG13" i="2"/>
  <c r="AE28" i="2"/>
  <c r="AE27" i="2"/>
  <c r="AK23" i="2"/>
  <c r="AK3" i="2"/>
  <c r="AI11" i="2"/>
  <c r="AI13" i="2" s="1"/>
  <c r="AI26" i="2" s="1"/>
  <c r="AO39" i="2"/>
  <c r="AR40" i="2"/>
  <c r="AI26" i="1"/>
  <c r="AI27" i="1" s="1"/>
  <c r="AH28" i="1"/>
  <c r="AH29" i="1" s="1"/>
  <c r="AH30" i="1" s="1"/>
  <c r="AJ11" i="1"/>
  <c r="AN22" i="1"/>
  <c r="AJ14" i="1"/>
  <c r="AO39" i="1"/>
  <c r="AR40" i="1"/>
  <c r="AJ7" i="1"/>
  <c r="AJ43" i="1"/>
  <c r="AJ37" i="1"/>
  <c r="AM6" i="1"/>
  <c r="AG26" i="1"/>
  <c r="AL23" i="1"/>
  <c r="AL3" i="1"/>
  <c r="AL16" i="1" s="1"/>
  <c r="AK36" i="1"/>
  <c r="AK25" i="1"/>
  <c r="AK12" i="1"/>
  <c r="AK11" i="1" s="1"/>
  <c r="AK8" i="1"/>
  <c r="AK24" i="1"/>
  <c r="AK15" i="1"/>
  <c r="AK9" i="1"/>
  <c r="AO47" i="1"/>
  <c r="AN46" i="1"/>
  <c r="AJ14" i="2" l="1"/>
  <c r="AH28" i="2"/>
  <c r="AH29" i="2" s="1"/>
  <c r="AH30" i="2" s="1"/>
  <c r="AE29" i="2"/>
  <c r="AE30" i="2" s="1"/>
  <c r="AI27" i="2"/>
  <c r="AI28" i="2"/>
  <c r="AL23" i="2"/>
  <c r="AL3" i="2"/>
  <c r="AJ7" i="2"/>
  <c r="AI44" i="2"/>
  <c r="AI53" i="2"/>
  <c r="AI54" i="2" s="1"/>
  <c r="AO5" i="2"/>
  <c r="AR39" i="2"/>
  <c r="AM6" i="2"/>
  <c r="AG26" i="2"/>
  <c r="AJ43" i="2"/>
  <c r="AJ37" i="2"/>
  <c r="AK24" i="2"/>
  <c r="AK8" i="2"/>
  <c r="AK25" i="2"/>
  <c r="AK15" i="2"/>
  <c r="AK9" i="2"/>
  <c r="AK36" i="2"/>
  <c r="AK16" i="2"/>
  <c r="AK12" i="2"/>
  <c r="AK11" i="2" s="1"/>
  <c r="AV40" i="2"/>
  <c r="AW40" i="2" s="1"/>
  <c r="AS40" i="2"/>
  <c r="AO47" i="2"/>
  <c r="AN46" i="2"/>
  <c r="AI28" i="1"/>
  <c r="AI29" i="1" s="1"/>
  <c r="AI30" i="1" s="1"/>
  <c r="AK14" i="1"/>
  <c r="AN6" i="1"/>
  <c r="AM23" i="1"/>
  <c r="AM3" i="1"/>
  <c r="AM16" i="1" s="1"/>
  <c r="AO5" i="1"/>
  <c r="AR39" i="1"/>
  <c r="AV40" i="1"/>
  <c r="AW40" i="1" s="1"/>
  <c r="AS40" i="1"/>
  <c r="AG28" i="1"/>
  <c r="AG27" i="1"/>
  <c r="AO46" i="1"/>
  <c r="AR47" i="1"/>
  <c r="AK43" i="1"/>
  <c r="AK37" i="1"/>
  <c r="AJ44" i="1"/>
  <c r="AJ53" i="1"/>
  <c r="AJ54" i="1" s="1"/>
  <c r="AL36" i="1"/>
  <c r="AL25" i="1"/>
  <c r="AL12" i="1"/>
  <c r="AL11" i="1" s="1"/>
  <c r="AL8" i="1"/>
  <c r="AL24" i="1"/>
  <c r="AL15" i="1"/>
  <c r="AL9" i="1"/>
  <c r="AK7" i="1"/>
  <c r="AK10" i="1" s="1"/>
  <c r="AK13" i="1" s="1"/>
  <c r="AJ10" i="1"/>
  <c r="AI29" i="2" l="1"/>
  <c r="AI30" i="2" s="1"/>
  <c r="AN6" i="2"/>
  <c r="AK37" i="2"/>
  <c r="AK43" i="2"/>
  <c r="AJ44" i="2"/>
  <c r="AJ53" i="2"/>
  <c r="AJ54" i="2" s="1"/>
  <c r="AK14" i="2"/>
  <c r="AG27" i="2"/>
  <c r="AG28" i="2"/>
  <c r="AJ10" i="2"/>
  <c r="AO46" i="2"/>
  <c r="AR47" i="2"/>
  <c r="AK7" i="2"/>
  <c r="AK10" i="2" s="1"/>
  <c r="AK13" i="2" s="1"/>
  <c r="AM23" i="2"/>
  <c r="AM3" i="2"/>
  <c r="AV39" i="2"/>
  <c r="AR41" i="2"/>
  <c r="AS39" i="2"/>
  <c r="AS41" i="2" s="1"/>
  <c r="AL36" i="2"/>
  <c r="AL24" i="2"/>
  <c r="AL25" i="2"/>
  <c r="AL15" i="2"/>
  <c r="AL16" i="2"/>
  <c r="AL12" i="2"/>
  <c r="AL11" i="2" s="1"/>
  <c r="AL9" i="2"/>
  <c r="AL8" i="2"/>
  <c r="AO22" i="2"/>
  <c r="AR22" i="2" s="1"/>
  <c r="AR5" i="2"/>
  <c r="AK26" i="1"/>
  <c r="AK27" i="1" s="1"/>
  <c r="AG29" i="1"/>
  <c r="AG30" i="1" s="1"/>
  <c r="AV39" i="1"/>
  <c r="AR41" i="1"/>
  <c r="AS39" i="1"/>
  <c r="AS41" i="1" s="1"/>
  <c r="AJ13" i="1"/>
  <c r="AL14" i="1"/>
  <c r="AN23" i="1"/>
  <c r="AN3" i="1"/>
  <c r="AN16" i="1" s="1"/>
  <c r="AO22" i="1"/>
  <c r="AR22" i="1" s="1"/>
  <c r="AR5" i="1"/>
  <c r="AL43" i="1"/>
  <c r="AL37" i="1"/>
  <c r="AM36" i="1"/>
  <c r="AM8" i="1"/>
  <c r="AM24" i="1"/>
  <c r="AM15" i="1"/>
  <c r="AM12" i="1"/>
  <c r="AM11" i="1" s="1"/>
  <c r="AM25" i="1"/>
  <c r="AM9" i="1"/>
  <c r="AL7" i="1"/>
  <c r="AL10" i="1" s="1"/>
  <c r="AL13" i="1" s="1"/>
  <c r="AK44" i="1"/>
  <c r="AK53" i="1"/>
  <c r="AK54" i="1" s="1"/>
  <c r="AV47" i="1"/>
  <c r="AW47" i="1" s="1"/>
  <c r="AS47" i="1"/>
  <c r="AO6" i="1"/>
  <c r="AR46" i="1"/>
  <c r="AL7" i="2" l="1"/>
  <c r="AL10" i="2" s="1"/>
  <c r="AL13" i="2"/>
  <c r="AG29" i="2"/>
  <c r="AG30" i="2" s="1"/>
  <c r="AK26" i="2"/>
  <c r="AK27" i="2" s="1"/>
  <c r="AO6" i="2"/>
  <c r="AR46" i="2"/>
  <c r="AL37" i="2"/>
  <c r="AL43" i="2"/>
  <c r="AJ13" i="2"/>
  <c r="AV47" i="2"/>
  <c r="AW47" i="2" s="1"/>
  <c r="AS47" i="2"/>
  <c r="AK44" i="2"/>
  <c r="AK53" i="2"/>
  <c r="AK54" i="2" s="1"/>
  <c r="AV41" i="2"/>
  <c r="AW39" i="2"/>
  <c r="AW41" i="2" s="1"/>
  <c r="AK28" i="2"/>
  <c r="AM36" i="2"/>
  <c r="AM24" i="2"/>
  <c r="AM25" i="2"/>
  <c r="AM15" i="2"/>
  <c r="AM9" i="2"/>
  <c r="AM16" i="2"/>
  <c r="AM12" i="2"/>
  <c r="AM11" i="2" s="1"/>
  <c r="AM8" i="2"/>
  <c r="AN23" i="2"/>
  <c r="AN3" i="2"/>
  <c r="AV5" i="2"/>
  <c r="AW5" i="2" s="1"/>
  <c r="AS5" i="2"/>
  <c r="AL14" i="2"/>
  <c r="AV22" i="2"/>
  <c r="AW22" i="2" s="1"/>
  <c r="AS22" i="2"/>
  <c r="AM7" i="1"/>
  <c r="AM10" i="1" s="1"/>
  <c r="AM13" i="1" s="1"/>
  <c r="AK28" i="1"/>
  <c r="AK29" i="1" s="1"/>
  <c r="AK30" i="1" s="1"/>
  <c r="AN36" i="1"/>
  <c r="AN24" i="1"/>
  <c r="AN15" i="1"/>
  <c r="AN9" i="1"/>
  <c r="AN25" i="1"/>
  <c r="AN12" i="1"/>
  <c r="AN11" i="1" s="1"/>
  <c r="AN8" i="1"/>
  <c r="AL44" i="1"/>
  <c r="AL53" i="1"/>
  <c r="AL54" i="1" s="1"/>
  <c r="AV22" i="1"/>
  <c r="AW22" i="1" s="1"/>
  <c r="AS22" i="1"/>
  <c r="AO23" i="1"/>
  <c r="AR23" i="1" s="1"/>
  <c r="AR6" i="1"/>
  <c r="AO3" i="1"/>
  <c r="AO16" i="1" s="1"/>
  <c r="AJ26" i="1"/>
  <c r="AV5" i="1"/>
  <c r="AW5" i="1" s="1"/>
  <c r="AS5" i="1"/>
  <c r="AM14" i="1"/>
  <c r="AL26" i="1"/>
  <c r="AV46" i="1"/>
  <c r="AR51" i="1"/>
  <c r="AS51" i="1" s="1"/>
  <c r="AS46" i="1"/>
  <c r="AM37" i="1"/>
  <c r="AM43" i="1"/>
  <c r="AV41" i="1"/>
  <c r="AW39" i="1"/>
  <c r="AW41" i="1" s="1"/>
  <c r="AL26" i="2" l="1"/>
  <c r="AL27" i="2" s="1"/>
  <c r="AK29" i="2"/>
  <c r="AK30" i="2" s="1"/>
  <c r="AJ26" i="2"/>
  <c r="AR51" i="2"/>
  <c r="AS51" i="2" s="1"/>
  <c r="AV46" i="2"/>
  <c r="AS46" i="2"/>
  <c r="AM14" i="2"/>
  <c r="AN36" i="2"/>
  <c r="AN25" i="2"/>
  <c r="AN15" i="2"/>
  <c r="AN9" i="2"/>
  <c r="AN8" i="2"/>
  <c r="AN7" i="2" s="1"/>
  <c r="AN10" i="2" s="1"/>
  <c r="AN16" i="2"/>
  <c r="AN12" i="2"/>
  <c r="AN11" i="2" s="1"/>
  <c r="AN24" i="2"/>
  <c r="AM37" i="2"/>
  <c r="AM43" i="2"/>
  <c r="AL44" i="2"/>
  <c r="AL53" i="2"/>
  <c r="AL54" i="2" s="1"/>
  <c r="AM7" i="2"/>
  <c r="AM10" i="2" s="1"/>
  <c r="AO23" i="2"/>
  <c r="AR23" i="2" s="1"/>
  <c r="AR6" i="2"/>
  <c r="AO3" i="2"/>
  <c r="AM26" i="1"/>
  <c r="AM27" i="1" s="1"/>
  <c r="AN7" i="1"/>
  <c r="AN10" i="1" s="1"/>
  <c r="AN13" i="1" s="1"/>
  <c r="AV6" i="1"/>
  <c r="AW6" i="1" s="1"/>
  <c r="AS6" i="1"/>
  <c r="AL27" i="1"/>
  <c r="AL28" i="1"/>
  <c r="AV23" i="1"/>
  <c r="AW23" i="1" s="1"/>
  <c r="AS23" i="1"/>
  <c r="AN14" i="1"/>
  <c r="AV51" i="1"/>
  <c r="AW51" i="1" s="1"/>
  <c r="AW46" i="1"/>
  <c r="AM44" i="1"/>
  <c r="AM53" i="1"/>
  <c r="AM54" i="1" s="1"/>
  <c r="AJ27" i="1"/>
  <c r="AJ28" i="1"/>
  <c r="AO36" i="1"/>
  <c r="AO24" i="1"/>
  <c r="AR24" i="1" s="1"/>
  <c r="AO15" i="1"/>
  <c r="AO9" i="1"/>
  <c r="AR9" i="1" s="1"/>
  <c r="AO25" i="1"/>
  <c r="AR25" i="1" s="1"/>
  <c r="AR16" i="1"/>
  <c r="AO12" i="1"/>
  <c r="AO8" i="1"/>
  <c r="AR3" i="1"/>
  <c r="AN37" i="1"/>
  <c r="AN43" i="1"/>
  <c r="AL28" i="2" l="1"/>
  <c r="AL29" i="2" s="1"/>
  <c r="AL30" i="2" s="1"/>
  <c r="AN13" i="2"/>
  <c r="AM44" i="2"/>
  <c r="AM53" i="2"/>
  <c r="AM54" i="2" s="1"/>
  <c r="AN14" i="2"/>
  <c r="AV51" i="2"/>
  <c r="AW51" i="2" s="1"/>
  <c r="AW46" i="2"/>
  <c r="AJ28" i="2"/>
  <c r="AJ27" i="2"/>
  <c r="AM13" i="2"/>
  <c r="AO36" i="2"/>
  <c r="AO25" i="2"/>
  <c r="AR25" i="2" s="1"/>
  <c r="AO24" i="2"/>
  <c r="AR24" i="2" s="1"/>
  <c r="AO16" i="2"/>
  <c r="AR16" i="2" s="1"/>
  <c r="AO12" i="2"/>
  <c r="AO8" i="2"/>
  <c r="AO15" i="2"/>
  <c r="AO9" i="2"/>
  <c r="AR9" i="2" s="1"/>
  <c r="AR3" i="2"/>
  <c r="AN43" i="2"/>
  <c r="AN37" i="2"/>
  <c r="AV6" i="2"/>
  <c r="AW6" i="2" s="1"/>
  <c r="AS6" i="2"/>
  <c r="AV23" i="2"/>
  <c r="AW23" i="2" s="1"/>
  <c r="AS23" i="2"/>
  <c r="AM28" i="1"/>
  <c r="AM29" i="1" s="1"/>
  <c r="AM30" i="1" s="1"/>
  <c r="AL29" i="1"/>
  <c r="AL30" i="1" s="1"/>
  <c r="AJ29" i="1"/>
  <c r="AJ30" i="1" s="1"/>
  <c r="AO7" i="1"/>
  <c r="AR8" i="1"/>
  <c r="AN44" i="1"/>
  <c r="AN53" i="1"/>
  <c r="AN54" i="1" s="1"/>
  <c r="AO37" i="1"/>
  <c r="AO43" i="1"/>
  <c r="AS36" i="1"/>
  <c r="AS43" i="1" s="1"/>
  <c r="AR36" i="1"/>
  <c r="AO11" i="1"/>
  <c r="AR11" i="1" s="1"/>
  <c r="AR12" i="1"/>
  <c r="AV16" i="1"/>
  <c r="AW16" i="1" s="1"/>
  <c r="AS16" i="1"/>
  <c r="AV25" i="1"/>
  <c r="AW25" i="1" s="1"/>
  <c r="AS25" i="1"/>
  <c r="AO14" i="1"/>
  <c r="AR14" i="1" s="1"/>
  <c r="AR15" i="1"/>
  <c r="AV9" i="1"/>
  <c r="AW9" i="1" s="1"/>
  <c r="AS9" i="1"/>
  <c r="AR32" i="1"/>
  <c r="AR27" i="1"/>
  <c r="AR28" i="1"/>
  <c r="AV3" i="1"/>
  <c r="AS3" i="1"/>
  <c r="AV24" i="1"/>
  <c r="AW24" i="1" s="1"/>
  <c r="AS24" i="1"/>
  <c r="AN26" i="1"/>
  <c r="AN26" i="2" l="1"/>
  <c r="AJ29" i="2"/>
  <c r="AJ30" i="2" s="1"/>
  <c r="AN27" i="2"/>
  <c r="AN28" i="2"/>
  <c r="AN44" i="2"/>
  <c r="AN53" i="2"/>
  <c r="AN54" i="2" s="1"/>
  <c r="AV24" i="2"/>
  <c r="AW24" i="2" s="1"/>
  <c r="AS24" i="2"/>
  <c r="AR32" i="2"/>
  <c r="AR28" i="2"/>
  <c r="AR27" i="2"/>
  <c r="AV3" i="2"/>
  <c r="AS3" i="2"/>
  <c r="AV9" i="2"/>
  <c r="AW9" i="2" s="1"/>
  <c r="AS9" i="2"/>
  <c r="AO43" i="2"/>
  <c r="AO37" i="2"/>
  <c r="AR36" i="2"/>
  <c r="AR34" i="2" s="1"/>
  <c r="AS36" i="2"/>
  <c r="AS43" i="2" s="1"/>
  <c r="AV25" i="2"/>
  <c r="AW25" i="2" s="1"/>
  <c r="AS25" i="2"/>
  <c r="AO14" i="2"/>
  <c r="AR14" i="2" s="1"/>
  <c r="AR15" i="2"/>
  <c r="AO11" i="2"/>
  <c r="AR11" i="2" s="1"/>
  <c r="AR12" i="2"/>
  <c r="AO7" i="2"/>
  <c r="AR8" i="2"/>
  <c r="AM26" i="2"/>
  <c r="AV16" i="2"/>
  <c r="AW16" i="2" s="1"/>
  <c r="AS16" i="2"/>
  <c r="AS44" i="1"/>
  <c r="AS53" i="1"/>
  <c r="AS54" i="1" s="1"/>
  <c r="AV14" i="1"/>
  <c r="AW14" i="1" s="1"/>
  <c r="AS14" i="1"/>
  <c r="AN28" i="1"/>
  <c r="AN27" i="1"/>
  <c r="AV15" i="1"/>
  <c r="AW15" i="1" s="1"/>
  <c r="AS15" i="1"/>
  <c r="AV32" i="1"/>
  <c r="AW3" i="1"/>
  <c r="AV28" i="1"/>
  <c r="AW28" i="1" s="1"/>
  <c r="AS28" i="1"/>
  <c r="AV27" i="1"/>
  <c r="AW27" i="1" s="1"/>
  <c r="AS27" i="1"/>
  <c r="AR37" i="1"/>
  <c r="AV37" i="1" s="1"/>
  <c r="AW37" i="1" s="1"/>
  <c r="AS37" i="1"/>
  <c r="AV8" i="1"/>
  <c r="AW8" i="1" s="1"/>
  <c r="AS8" i="1"/>
  <c r="AS32" i="1"/>
  <c r="AS34" i="1"/>
  <c r="AR43" i="1"/>
  <c r="AV36" i="1"/>
  <c r="AV34" i="1" s="1"/>
  <c r="AO44" i="1"/>
  <c r="AO53" i="1"/>
  <c r="AO54" i="1" s="1"/>
  <c r="AR34" i="1"/>
  <c r="AV12" i="1"/>
  <c r="AW12" i="1" s="1"/>
  <c r="AS12" i="1"/>
  <c r="AV11" i="1"/>
  <c r="AW11" i="1" s="1"/>
  <c r="AS11" i="1"/>
  <c r="AR7" i="1"/>
  <c r="AO10" i="1"/>
  <c r="AN29" i="2" l="1"/>
  <c r="AN30" i="2" s="1"/>
  <c r="AS44" i="2"/>
  <c r="AS53" i="2"/>
  <c r="AS54" i="2" s="1"/>
  <c r="AV32" i="2"/>
  <c r="AV34" i="2"/>
  <c r="AW3" i="2"/>
  <c r="AV14" i="2"/>
  <c r="AW14" i="2" s="1"/>
  <c r="AS14" i="2"/>
  <c r="AR43" i="2"/>
  <c r="AV36" i="2"/>
  <c r="AV12" i="2"/>
  <c r="AW12" i="2" s="1"/>
  <c r="AS12" i="2"/>
  <c r="AR37" i="2"/>
  <c r="AV37" i="2" s="1"/>
  <c r="AW37" i="2" s="1"/>
  <c r="AS37" i="2"/>
  <c r="AV28" i="2"/>
  <c r="AW28" i="2" s="1"/>
  <c r="AS28" i="2"/>
  <c r="AV15" i="2"/>
  <c r="AW15" i="2" s="1"/>
  <c r="AS15" i="2"/>
  <c r="AM28" i="2"/>
  <c r="AM27" i="2"/>
  <c r="AS34" i="2"/>
  <c r="AS32" i="2"/>
  <c r="AV8" i="2"/>
  <c r="AW8" i="2" s="1"/>
  <c r="AS8" i="2"/>
  <c r="AR7" i="2"/>
  <c r="AO10" i="2"/>
  <c r="AV27" i="2"/>
  <c r="AW27" i="2" s="1"/>
  <c r="AS27" i="2"/>
  <c r="AV11" i="2"/>
  <c r="AW11" i="2" s="1"/>
  <c r="AS11" i="2"/>
  <c r="AO44" i="2"/>
  <c r="AO53" i="2"/>
  <c r="AO54" i="2" s="1"/>
  <c r="AN29" i="1"/>
  <c r="AN30" i="1" s="1"/>
  <c r="AR44" i="1"/>
  <c r="AR53" i="1"/>
  <c r="AR54" i="1" s="1"/>
  <c r="AW32" i="1"/>
  <c r="AO13" i="1"/>
  <c r="AR10" i="1"/>
  <c r="AV7" i="1"/>
  <c r="AW7" i="1" s="1"/>
  <c r="AS7" i="1"/>
  <c r="AV43" i="1"/>
  <c r="AW36" i="1"/>
  <c r="AW43" i="1" s="1"/>
  <c r="AM29" i="2" l="1"/>
  <c r="AM30" i="2" s="1"/>
  <c r="AW32" i="2"/>
  <c r="AR44" i="2"/>
  <c r="AR53" i="2"/>
  <c r="AR54" i="2" s="1"/>
  <c r="AO13" i="2"/>
  <c r="AR10" i="2"/>
  <c r="AV7" i="2"/>
  <c r="AW7" i="2" s="1"/>
  <c r="AS7" i="2"/>
  <c r="AV43" i="2"/>
  <c r="AW36" i="2"/>
  <c r="AW43" i="2" s="1"/>
  <c r="AW34" i="1"/>
  <c r="AW44" i="1"/>
  <c r="AW53" i="1"/>
  <c r="AW54" i="1" s="1"/>
  <c r="AV10" i="1"/>
  <c r="AW10" i="1" s="1"/>
  <c r="AS10" i="1"/>
  <c r="AO26" i="1"/>
  <c r="AR13" i="1"/>
  <c r="AV44" i="1"/>
  <c r="AV53" i="1"/>
  <c r="AV54" i="1" s="1"/>
  <c r="AV10" i="2" l="1"/>
  <c r="AW10" i="2" s="1"/>
  <c r="AS10" i="2"/>
  <c r="AO26" i="2"/>
  <c r="AR13" i="2"/>
  <c r="AW44" i="2"/>
  <c r="AW53" i="2"/>
  <c r="AW54" i="2" s="1"/>
  <c r="AW34" i="2"/>
  <c r="AV44" i="2"/>
  <c r="AV53" i="2"/>
  <c r="AV54" i="2" s="1"/>
  <c r="AV13" i="1"/>
  <c r="AW13" i="1" s="1"/>
  <c r="AS13" i="1"/>
  <c r="AO28" i="1"/>
  <c r="AO27" i="1"/>
  <c r="AR26" i="1"/>
  <c r="AV13" i="2" l="1"/>
  <c r="AW13" i="2" s="1"/>
  <c r="AS13" i="2"/>
  <c r="AO27" i="2"/>
  <c r="AO28" i="2"/>
  <c r="AR26" i="2"/>
  <c r="AO29" i="1"/>
  <c r="AO30" i="1" s="1"/>
  <c r="AR29" i="1"/>
  <c r="AR30" i="1" s="1"/>
  <c r="AV26" i="1"/>
  <c r="AS26" i="1"/>
  <c r="AS29" i="1" s="1"/>
  <c r="AS30" i="1" s="1"/>
  <c r="AO29" i="2" l="1"/>
  <c r="AO30" i="2" s="1"/>
  <c r="AR29" i="2"/>
  <c r="AR30" i="2" s="1"/>
  <c r="AV26" i="2"/>
  <c r="AS26" i="2"/>
  <c r="AS29" i="2" s="1"/>
  <c r="AS30" i="2" s="1"/>
  <c r="AV29" i="1"/>
  <c r="AV30" i="1" s="1"/>
  <c r="AW26" i="1"/>
  <c r="AW29" i="1" s="1"/>
  <c r="AW30" i="1" s="1"/>
  <c r="AV29" i="2" l="1"/>
  <c r="AV30" i="2" s="1"/>
  <c r="AW26" i="2"/>
  <c r="AW29" i="2" s="1"/>
  <c r="AW30" i="2" s="1"/>
</calcChain>
</file>

<file path=xl/sharedStrings.xml><?xml version="1.0" encoding="utf-8"?>
<sst xmlns="http://schemas.openxmlformats.org/spreadsheetml/2006/main" count="118" uniqueCount="61">
  <si>
    <t>DRE - LUCRO REAL</t>
  </si>
  <si>
    <t>Variáveis</t>
  </si>
  <si>
    <t>Año 1</t>
  </si>
  <si>
    <t>Año 2</t>
  </si>
  <si>
    <t>Año 3</t>
  </si>
  <si>
    <t>Total</t>
  </si>
  <si>
    <t>Média Ano 1</t>
  </si>
  <si>
    <t>Média Ano 2</t>
  </si>
  <si>
    <t>Média Ano 3</t>
  </si>
  <si>
    <t>Faturamento Total de Vendas</t>
  </si>
  <si>
    <t>Loja Propria Pago</t>
  </si>
  <si>
    <t>Loja Propria Organico</t>
  </si>
  <si>
    <t>Marketplace</t>
  </si>
  <si>
    <t>(-) Impostos</t>
  </si>
  <si>
    <t>ICMS</t>
  </si>
  <si>
    <t>PIS/COFINS</t>
  </si>
  <si>
    <t>(=) Receita Bruta</t>
  </si>
  <si>
    <t>(-) Custos de Mercadoria Vendido</t>
  </si>
  <si>
    <t>(=) Receita Liquida</t>
  </si>
  <si>
    <t>(-) Gastos de Funcionamento</t>
  </si>
  <si>
    <t>Gestão Ecommerce</t>
  </si>
  <si>
    <t>Plataforma</t>
  </si>
  <si>
    <t>Integração ERP</t>
  </si>
  <si>
    <t xml:space="preserve"> </t>
  </si>
  <si>
    <t>Marketing</t>
  </si>
  <si>
    <t>Compra de Midia</t>
  </si>
  <si>
    <t>Infra MKT [SEO y Otros]</t>
  </si>
  <si>
    <t>Photos</t>
  </si>
  <si>
    <t>Custos Pagamentos</t>
  </si>
  <si>
    <t>Atendimento Cliente</t>
  </si>
  <si>
    <t>Reversa</t>
  </si>
  <si>
    <t>(=) Resultados antes de Impostos de Renda</t>
  </si>
  <si>
    <t>(-) IR</t>
  </si>
  <si>
    <t>(-) CSLL</t>
  </si>
  <si>
    <t>(=) RESULTADO LIQUIDO</t>
  </si>
  <si>
    <t>(%) MARGEN LIQUIDA</t>
  </si>
  <si>
    <t>ROAS Marketing</t>
  </si>
  <si>
    <t>Crescimiento en ROAS</t>
  </si>
  <si>
    <t>Ticket Médio [R$]</t>
  </si>
  <si>
    <t>Pedidos Pagos</t>
  </si>
  <si>
    <t>Peças</t>
  </si>
  <si>
    <t>Pedidos orgânicos</t>
  </si>
  <si>
    <t>Institucional</t>
  </si>
  <si>
    <t>Visitas</t>
  </si>
  <si>
    <t>Conversão</t>
  </si>
  <si>
    <t>Total de pedidos loja</t>
  </si>
  <si>
    <t>Total peças da loja</t>
  </si>
  <si>
    <t>Pedidos Marketplace</t>
  </si>
  <si>
    <t>Mercado Livre</t>
  </si>
  <si>
    <t>Aumento</t>
  </si>
  <si>
    <t>Total de pedidos eCommerce</t>
  </si>
  <si>
    <t>Total peças eCommerce</t>
  </si>
  <si>
    <t>proporcionalidade</t>
  </si>
  <si>
    <t>Custos de Mercadoria Vendido</t>
  </si>
  <si>
    <t>Dafiti</t>
  </si>
  <si>
    <t>Shoptogether</t>
  </si>
  <si>
    <t>Outros</t>
  </si>
  <si>
    <t>Estratégia Ecommerce</t>
  </si>
  <si>
    <t>DADOS PRELIMINARES</t>
  </si>
  <si>
    <t>Ecommerce Geral</t>
  </si>
  <si>
    <t>Plataforma 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</si>
</sst>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#,##0_);_(\(#,##0\);_(&quot;-&quot;_);_(@_)"/>
    <numFmt numFmtId="165" formatCode="0.0%"/>
    <numFmt numFmtId="166" formatCode="_-[$R$-416]* #,##0_-;\-[$R$-416]* #,##0_-;_-[$R$-416]* &quot;-&quot;??_-;_-@"/>
    <numFmt numFmtId="167" formatCode="_(#,##0.0_);_(\(#,##0.0\);_(&quot;-&quot;_);_(@_)"/>
    <numFmt numFmtId="168" formatCode="0.0"/>
    <numFmt numFmtId="169" formatCode="#,##0.0"/>
    <numFmt numFmtId="170" formatCode="_-* #,##0_-;\-* #,##0_-;_-* &quot;-&quot;??_-;_-@"/>
    <numFmt numFmtId="171" formatCode="#,##0_ ;\-#,##0\ "/>
    <numFmt numFmtId="172" formatCode="#,##0_ ;[Red]\-#,##0\ "/>
    <numFmt numFmtId="173" formatCode="_(&quot;R$&quot;* #,##0_);_(&quot;R$&quot;* \(#,##0\);_(&quot;R$&quot;* &quot;-&quot;??_);_(@_)"/>
    <numFmt numFmtId="174" formatCode="_(&quot;R$&quot;* #,##0.00_);_(&quot;R$&quot;* \(#,##0.00\);_(&quot;R$&quot;* &quot;-&quot;??_);_(@_)"/>
  </numFmts>
  <fonts count="16" x14ac:knownFonts="1">
    <font>
      <sz val="11"/>
      <color rgb="FF000000"/>
      <name val="Calibri"/>
    </font>
    <font>
      <sz val="11"/>
      <color rgb="FF000000"/>
      <name val="Arial Narrow"/>
    </font>
    <font>
      <b/>
      <i/>
      <sz val="11"/>
      <color rgb="FFFFFFFF"/>
      <name val="Arial Narrow"/>
    </font>
    <font>
      <sz val="11"/>
      <name val="Calibri"/>
    </font>
    <font>
      <b/>
      <sz val="11"/>
      <color rgb="FFFFFFFF"/>
      <name val="Arial Narrow"/>
    </font>
    <font>
      <b/>
      <i/>
      <sz val="11"/>
      <color rgb="FF000000"/>
      <name val="Arial Narrow"/>
    </font>
    <font>
      <b/>
      <sz val="11"/>
      <color rgb="FF000000"/>
      <name val="Arial Narrow"/>
    </font>
    <font>
      <b/>
      <sz val="10"/>
      <color rgb="FFFFFFFF"/>
      <name val="Arial Narrow"/>
    </font>
    <font>
      <i/>
      <sz val="11"/>
      <color rgb="FF000000"/>
      <name val="Arial Narrow"/>
    </font>
    <font>
      <b/>
      <sz val="10"/>
      <color rgb="FF000000"/>
      <name val="Arial Narrow"/>
    </font>
    <font>
      <i/>
      <sz val="10"/>
      <color rgb="FF000000"/>
      <name val="Arial Narrow"/>
    </font>
    <font>
      <b/>
      <i/>
      <sz val="10"/>
      <name val="Arial Narrow"/>
    </font>
    <font>
      <i/>
      <sz val="10"/>
      <name val="Arial Narrow"/>
    </font>
    <font>
      <b/>
      <i/>
      <sz val="10"/>
      <color rgb="FF000000"/>
      <name val="Arial Narrow"/>
    </font>
    <font>
      <b/>
      <i/>
      <sz val="11"/>
      <color theme="0"/>
      <name val="Arial Narrow"/>
      <family val="2"/>
    </font>
    <font>
      <b/>
      <sz val="11"/>
      <color theme="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theme="4" tint="-0.249977111117893"/>
        <bgColor rgb="FFFFFFFF"/>
      </patternFill>
    </fill>
    <fill>
      <patternFill patternType="solid">
        <fgColor theme="4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2" borderId="1" xfId="0" applyFont="1" applyFill="1" applyBorder="1"/>
    <xf numFmtId="0" fontId="2" fillId="3" borderId="5" xfId="0" applyFont="1" applyFill="1" applyBorder="1" applyAlignment="1">
      <alignment horizontal="center"/>
    </xf>
    <xf numFmtId="0" fontId="1" fillId="3" borderId="1" xfId="0" applyFont="1" applyFill="1" applyBorder="1"/>
    <xf numFmtId="0" fontId="5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7" fontId="7" fillId="3" borderId="1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5" fillId="2" borderId="9" xfId="0" applyFont="1" applyFill="1" applyBorder="1"/>
    <xf numFmtId="0" fontId="6" fillId="2" borderId="10" xfId="0" applyFont="1" applyFill="1" applyBorder="1"/>
    <xf numFmtId="0" fontId="6" fillId="2" borderId="5" xfId="0" applyFont="1" applyFill="1" applyBorder="1"/>
    <xf numFmtId="0" fontId="6" fillId="2" borderId="5" xfId="0" applyFont="1" applyFill="1" applyBorder="1" applyAlignment="1">
      <alignment horizontal="center"/>
    </xf>
    <xf numFmtId="164" fontId="6" fillId="0" borderId="11" xfId="0" applyNumberFormat="1" applyFont="1" applyBorder="1"/>
    <xf numFmtId="164" fontId="6" fillId="4" borderId="11" xfId="0" applyNumberFormat="1" applyFont="1" applyFill="1" applyBorder="1"/>
    <xf numFmtId="164" fontId="6" fillId="5" borderId="11" xfId="0" applyNumberFormat="1" applyFont="1" applyFill="1" applyBorder="1"/>
    <xf numFmtId="0" fontId="8" fillId="2" borderId="1" xfId="0" applyFont="1" applyFill="1" applyBorder="1"/>
    <xf numFmtId="0" fontId="8" fillId="2" borderId="10" xfId="0" applyFont="1" applyFill="1" applyBorder="1"/>
    <xf numFmtId="0" fontId="8" fillId="2" borderId="5" xfId="0" applyFont="1" applyFill="1" applyBorder="1"/>
    <xf numFmtId="164" fontId="8" fillId="0" borderId="11" xfId="0" applyNumberFormat="1" applyFont="1" applyBorder="1"/>
    <xf numFmtId="164" fontId="8" fillId="4" borderId="11" xfId="0" applyNumberFormat="1" applyFont="1" applyFill="1" applyBorder="1"/>
    <xf numFmtId="164" fontId="8" fillId="5" borderId="11" xfId="0" applyNumberFormat="1" applyFont="1" applyFill="1" applyBorder="1"/>
    <xf numFmtId="0" fontId="9" fillId="2" borderId="5" xfId="0" applyFont="1" applyFill="1" applyBorder="1" applyAlignment="1">
      <alignment horizontal="center"/>
    </xf>
    <xf numFmtId="165" fontId="10" fillId="6" borderId="5" xfId="0" applyNumberFormat="1" applyFont="1" applyFill="1" applyBorder="1" applyAlignment="1">
      <alignment horizontal="center"/>
    </xf>
    <xf numFmtId="10" fontId="10" fillId="6" borderId="5" xfId="0" applyNumberFormat="1" applyFont="1" applyFill="1" applyBorder="1" applyAlignment="1">
      <alignment horizontal="center"/>
    </xf>
    <xf numFmtId="0" fontId="5" fillId="2" borderId="12" xfId="0" applyFont="1" applyFill="1" applyBorder="1"/>
    <xf numFmtId="0" fontId="6" fillId="2" borderId="13" xfId="0" applyFont="1" applyFill="1" applyBorder="1"/>
    <xf numFmtId="0" fontId="9" fillId="2" borderId="13" xfId="0" applyFont="1" applyFill="1" applyBorder="1" applyAlignment="1">
      <alignment horizontal="center"/>
    </xf>
    <xf numFmtId="0" fontId="5" fillId="2" borderId="1" xfId="0" applyFont="1" applyFill="1" applyBorder="1"/>
    <xf numFmtId="9" fontId="10" fillId="6" borderId="5" xfId="0" applyNumberFormat="1" applyFont="1" applyFill="1" applyBorder="1" applyAlignment="1">
      <alignment horizontal="center"/>
    </xf>
    <xf numFmtId="0" fontId="8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/>
    <xf numFmtId="165" fontId="10" fillId="6" borderId="16" xfId="0" applyNumberFormat="1" applyFont="1" applyFill="1" applyBorder="1" applyAlignment="1">
      <alignment horizontal="center"/>
    </xf>
    <xf numFmtId="0" fontId="8" fillId="2" borderId="9" xfId="0" applyFont="1" applyFill="1" applyBorder="1"/>
    <xf numFmtId="0" fontId="10" fillId="2" borderId="10" xfId="0" applyFont="1" applyFill="1" applyBorder="1"/>
    <xf numFmtId="0" fontId="10" fillId="2" borderId="5" xfId="0" applyFont="1" applyFill="1" applyBorder="1"/>
    <xf numFmtId="166" fontId="10" fillId="6" borderId="16" xfId="0" applyNumberFormat="1" applyFont="1" applyFill="1" applyBorder="1" applyAlignment="1">
      <alignment horizontal="center"/>
    </xf>
    <xf numFmtId="0" fontId="11" fillId="2" borderId="10" xfId="0" applyFont="1" applyFill="1" applyBorder="1"/>
    <xf numFmtId="0" fontId="11" fillId="2" borderId="5" xfId="0" applyFont="1" applyFill="1" applyBorder="1"/>
    <xf numFmtId="0" fontId="11" fillId="0" borderId="4" xfId="0" applyFont="1" applyBorder="1" applyAlignment="1">
      <alignment horizontal="center"/>
    </xf>
    <xf numFmtId="164" fontId="5" fillId="0" borderId="11" xfId="0" applyNumberFormat="1" applyFont="1" applyBorder="1"/>
    <xf numFmtId="164" fontId="5" fillId="4" borderId="11" xfId="0" applyNumberFormat="1" applyFont="1" applyFill="1" applyBorder="1"/>
    <xf numFmtId="164" fontId="5" fillId="5" borderId="11" xfId="0" applyNumberFormat="1" applyFont="1" applyFill="1" applyBorder="1"/>
    <xf numFmtId="0" fontId="12" fillId="2" borderId="10" xfId="0" applyFont="1" applyFill="1" applyBorder="1"/>
    <xf numFmtId="0" fontId="12" fillId="2" borderId="5" xfId="0" applyFont="1" applyFill="1" applyBorder="1"/>
    <xf numFmtId="0" fontId="12" fillId="0" borderId="4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65" fontId="13" fillId="6" borderId="16" xfId="0" applyNumberFormat="1" applyFont="1" applyFill="1" applyBorder="1" applyAlignment="1">
      <alignment horizontal="center"/>
    </xf>
    <xf numFmtId="0" fontId="8" fillId="2" borderId="13" xfId="0" applyFont="1" applyFill="1" applyBorder="1"/>
    <xf numFmtId="0" fontId="8" fillId="2" borderId="13" xfId="0" applyFont="1" applyFill="1" applyBorder="1" applyAlignment="1">
      <alignment horizontal="center"/>
    </xf>
    <xf numFmtId="0" fontId="2" fillId="3" borderId="9" xfId="0" applyFont="1" applyFill="1" applyBorder="1"/>
    <xf numFmtId="0" fontId="4" fillId="3" borderId="10" xfId="0" applyFont="1" applyFill="1" applyBorder="1"/>
    <xf numFmtId="0" fontId="4" fillId="3" borderId="5" xfId="0" applyFont="1" applyFill="1" applyBorder="1"/>
    <xf numFmtId="164" fontId="4" fillId="3" borderId="11" xfId="0" applyNumberFormat="1" applyFont="1" applyFill="1" applyBorder="1"/>
    <xf numFmtId="164" fontId="4" fillId="7" borderId="11" xfId="0" applyNumberFormat="1" applyFont="1" applyFill="1" applyBorder="1"/>
    <xf numFmtId="167" fontId="1" fillId="2" borderId="1" xfId="0" applyNumberFormat="1" applyFont="1" applyFill="1" applyBorder="1"/>
    <xf numFmtId="167" fontId="2" fillId="3" borderId="14" xfId="0" applyNumberFormat="1" applyFont="1" applyFill="1" applyBorder="1"/>
    <xf numFmtId="167" fontId="4" fillId="3" borderId="15" xfId="0" applyNumberFormat="1" applyFont="1" applyFill="1" applyBorder="1"/>
    <xf numFmtId="167" fontId="4" fillId="3" borderId="16" xfId="0" applyNumberFormat="1" applyFont="1" applyFill="1" applyBorder="1"/>
    <xf numFmtId="167" fontId="4" fillId="3" borderId="16" xfId="0" applyNumberFormat="1" applyFont="1" applyFill="1" applyBorder="1" applyAlignment="1">
      <alignment horizontal="center"/>
    </xf>
    <xf numFmtId="167" fontId="4" fillId="3" borderId="11" xfId="0" applyNumberFormat="1" applyFont="1" applyFill="1" applyBorder="1"/>
    <xf numFmtId="167" fontId="4" fillId="7" borderId="1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vertical="center"/>
    </xf>
    <xf numFmtId="0" fontId="10" fillId="2" borderId="18" xfId="0" applyFont="1" applyFill="1" applyBorder="1" applyAlignment="1">
      <alignment vertical="center"/>
    </xf>
    <xf numFmtId="0" fontId="10" fillId="2" borderId="19" xfId="0" applyFont="1" applyFill="1" applyBorder="1" applyAlignment="1">
      <alignment vertical="center"/>
    </xf>
    <xf numFmtId="0" fontId="10" fillId="2" borderId="19" xfId="0" applyFont="1" applyFill="1" applyBorder="1" applyAlignment="1">
      <alignment horizontal="center" vertical="center"/>
    </xf>
    <xf numFmtId="168" fontId="10" fillId="2" borderId="19" xfId="0" applyNumberFormat="1" applyFont="1" applyFill="1" applyBorder="1" applyAlignment="1">
      <alignment horizontal="center" vertical="center"/>
    </xf>
    <xf numFmtId="168" fontId="10" fillId="2" borderId="20" xfId="0" applyNumberFormat="1" applyFont="1" applyFill="1" applyBorder="1" applyAlignment="1">
      <alignment horizontal="center" vertical="center"/>
    </xf>
    <xf numFmtId="169" fontId="10" fillId="8" borderId="18" xfId="0" applyNumberFormat="1" applyFont="1" applyFill="1" applyBorder="1" applyAlignment="1">
      <alignment horizontal="center" vertical="center"/>
    </xf>
    <xf numFmtId="169" fontId="10" fillId="8" borderId="19" xfId="0" applyNumberFormat="1" applyFont="1" applyFill="1" applyBorder="1" applyAlignment="1">
      <alignment horizontal="center" vertical="center"/>
    </xf>
    <xf numFmtId="169" fontId="10" fillId="8" borderId="20" xfId="0" applyNumberFormat="1" applyFont="1" applyFill="1" applyBorder="1" applyAlignment="1">
      <alignment horizontal="center" vertical="center"/>
    </xf>
    <xf numFmtId="169" fontId="10" fillId="8" borderId="2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left" vertical="center"/>
    </xf>
    <xf numFmtId="9" fontId="10" fillId="2" borderId="1" xfId="0" applyNumberFormat="1" applyFont="1" applyFill="1" applyBorder="1" applyAlignment="1">
      <alignment horizontal="center" vertical="center"/>
    </xf>
    <xf numFmtId="9" fontId="10" fillId="2" borderId="23" xfId="0" applyNumberFormat="1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23" xfId="0" applyFont="1" applyFill="1" applyBorder="1" applyAlignment="1">
      <alignment horizontal="center" vertical="center"/>
    </xf>
    <xf numFmtId="0" fontId="10" fillId="8" borderId="24" xfId="0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10" fillId="2" borderId="25" xfId="0" applyNumberFormat="1" applyFont="1" applyFill="1" applyBorder="1" applyAlignment="1">
      <alignment horizontal="left" vertical="center"/>
    </xf>
    <xf numFmtId="3" fontId="10" fillId="2" borderId="26" xfId="0" applyNumberFormat="1" applyFont="1" applyFill="1" applyBorder="1" applyAlignment="1">
      <alignment horizontal="center" vertical="center"/>
    </xf>
    <xf numFmtId="3" fontId="10" fillId="8" borderId="25" xfId="0" applyNumberFormat="1" applyFont="1" applyFill="1" applyBorder="1" applyAlignment="1">
      <alignment horizontal="center" vertical="center"/>
    </xf>
    <xf numFmtId="3" fontId="10" fillId="8" borderId="26" xfId="0" applyNumberFormat="1" applyFont="1" applyFill="1" applyBorder="1" applyAlignment="1">
      <alignment horizontal="center" vertical="center"/>
    </xf>
    <xf numFmtId="3" fontId="10" fillId="8" borderId="27" xfId="0" applyNumberFormat="1" applyFont="1" applyFill="1" applyBorder="1" applyAlignment="1">
      <alignment horizontal="center" vertical="center"/>
    </xf>
    <xf numFmtId="3" fontId="10" fillId="8" borderId="28" xfId="0" applyNumberFormat="1" applyFont="1" applyFill="1" applyBorder="1" applyAlignment="1">
      <alignment horizontal="center" vertical="center"/>
    </xf>
    <xf numFmtId="170" fontId="10" fillId="2" borderId="1" xfId="0" applyNumberFormat="1" applyFont="1" applyFill="1" applyBorder="1" applyAlignment="1">
      <alignment vertical="center"/>
    </xf>
    <xf numFmtId="170" fontId="10" fillId="2" borderId="1" xfId="0" applyNumberFormat="1" applyFont="1" applyFill="1" applyBorder="1" applyAlignment="1">
      <alignment horizontal="center" vertical="center"/>
    </xf>
    <xf numFmtId="170" fontId="13" fillId="2" borderId="1" xfId="0" applyNumberFormat="1" applyFont="1" applyFill="1" applyBorder="1" applyAlignment="1">
      <alignment vertical="center"/>
    </xf>
    <xf numFmtId="170" fontId="13" fillId="2" borderId="18" xfId="0" applyNumberFormat="1" applyFont="1" applyFill="1" applyBorder="1" applyAlignment="1">
      <alignment vertical="center"/>
    </xf>
    <xf numFmtId="170" fontId="13" fillId="2" borderId="19" xfId="0" applyNumberFormat="1" applyFont="1" applyFill="1" applyBorder="1" applyAlignment="1">
      <alignment vertical="center"/>
    </xf>
    <xf numFmtId="170" fontId="13" fillId="2" borderId="19" xfId="0" applyNumberFormat="1" applyFont="1" applyFill="1" applyBorder="1" applyAlignment="1">
      <alignment horizontal="center" vertical="center"/>
    </xf>
    <xf numFmtId="37" fontId="13" fillId="2" borderId="19" xfId="0" applyNumberFormat="1" applyFont="1" applyFill="1" applyBorder="1" applyAlignment="1">
      <alignment horizontal="center" vertical="center"/>
    </xf>
    <xf numFmtId="37" fontId="13" fillId="2" borderId="20" xfId="0" applyNumberFormat="1" applyFont="1" applyFill="1" applyBorder="1" applyAlignment="1">
      <alignment horizontal="center" vertical="center"/>
    </xf>
    <xf numFmtId="171" fontId="13" fillId="9" borderId="18" xfId="0" applyNumberFormat="1" applyFont="1" applyFill="1" applyBorder="1" applyAlignment="1">
      <alignment horizontal="center" vertical="center"/>
    </xf>
    <xf numFmtId="171" fontId="13" fillId="9" borderId="19" xfId="0" applyNumberFormat="1" applyFont="1" applyFill="1" applyBorder="1" applyAlignment="1">
      <alignment horizontal="center" vertical="center"/>
    </xf>
    <xf numFmtId="171" fontId="13" fillId="9" borderId="20" xfId="0" applyNumberFormat="1" applyFont="1" applyFill="1" applyBorder="1" applyAlignment="1">
      <alignment horizontal="center" vertical="center"/>
    </xf>
    <xf numFmtId="3" fontId="13" fillId="8" borderId="21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vertical="center"/>
    </xf>
    <xf numFmtId="0" fontId="13" fillId="2" borderId="26" xfId="0" applyFont="1" applyFill="1" applyBorder="1" applyAlignment="1">
      <alignment vertical="center"/>
    </xf>
    <xf numFmtId="168" fontId="13" fillId="2" borderId="26" xfId="0" applyNumberFormat="1" applyFont="1" applyFill="1" applyBorder="1" applyAlignment="1">
      <alignment horizontal="center" vertical="center"/>
    </xf>
    <xf numFmtId="37" fontId="10" fillId="2" borderId="26" xfId="0" applyNumberFormat="1" applyFont="1" applyFill="1" applyBorder="1" applyAlignment="1">
      <alignment horizontal="center" vertical="center"/>
    </xf>
    <xf numFmtId="37" fontId="10" fillId="2" borderId="27" xfId="0" applyNumberFormat="1" applyFont="1" applyFill="1" applyBorder="1" applyAlignment="1">
      <alignment horizontal="center" vertical="center"/>
    </xf>
    <xf numFmtId="171" fontId="10" fillId="9" borderId="25" xfId="0" applyNumberFormat="1" applyFont="1" applyFill="1" applyBorder="1" applyAlignment="1">
      <alignment horizontal="center" vertical="center"/>
    </xf>
    <xf numFmtId="171" fontId="10" fillId="9" borderId="26" xfId="0" applyNumberFormat="1" applyFont="1" applyFill="1" applyBorder="1" applyAlignment="1">
      <alignment horizontal="center" vertical="center"/>
    </xf>
    <xf numFmtId="171" fontId="10" fillId="9" borderId="27" xfId="0" applyNumberFormat="1" applyFont="1" applyFill="1" applyBorder="1" applyAlignment="1">
      <alignment horizontal="center" vertical="center"/>
    </xf>
    <xf numFmtId="3" fontId="13" fillId="8" borderId="28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37" fontId="10" fillId="2" borderId="1" xfId="0" applyNumberFormat="1" applyFont="1" applyFill="1" applyBorder="1" applyAlignment="1">
      <alignment horizontal="center" vertical="center"/>
    </xf>
    <xf numFmtId="171" fontId="10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/>
    <xf numFmtId="3" fontId="5" fillId="2" borderId="18" xfId="0" applyNumberFormat="1" applyFont="1" applyFill="1" applyBorder="1"/>
    <xf numFmtId="3" fontId="5" fillId="2" borderId="19" xfId="0" applyNumberFormat="1" applyFont="1" applyFill="1" applyBorder="1"/>
    <xf numFmtId="3" fontId="5" fillId="2" borderId="19" xfId="0" applyNumberFormat="1" applyFont="1" applyFill="1" applyBorder="1" applyAlignment="1">
      <alignment horizontal="center"/>
    </xf>
    <xf numFmtId="3" fontId="5" fillId="2" borderId="20" xfId="0" applyNumberFormat="1" applyFont="1" applyFill="1" applyBorder="1" applyAlignment="1">
      <alignment horizontal="center"/>
    </xf>
    <xf numFmtId="3" fontId="5" fillId="2" borderId="18" xfId="0" applyNumberFormat="1" applyFont="1" applyFill="1" applyBorder="1" applyAlignment="1">
      <alignment horizontal="center"/>
    </xf>
    <xf numFmtId="3" fontId="5" fillId="2" borderId="21" xfId="0" applyNumberFormat="1" applyFont="1" applyFill="1" applyBorder="1" applyAlignment="1">
      <alignment horizontal="center"/>
    </xf>
    <xf numFmtId="3" fontId="8" fillId="2" borderId="1" xfId="0" applyNumberFormat="1" applyFont="1" applyFill="1" applyBorder="1"/>
    <xf numFmtId="3" fontId="8" fillId="2" borderId="22" xfId="0" applyNumberFormat="1" applyFont="1" applyFill="1" applyBorder="1"/>
    <xf numFmtId="3" fontId="8" fillId="2" borderId="1" xfId="0" applyNumberFormat="1" applyFont="1" applyFill="1" applyBorder="1" applyAlignment="1">
      <alignment horizontal="center"/>
    </xf>
    <xf numFmtId="3" fontId="8" fillId="2" borderId="22" xfId="0" applyNumberFormat="1" applyFont="1" applyFill="1" applyBorder="1" applyAlignment="1">
      <alignment horizontal="center"/>
    </xf>
    <xf numFmtId="3" fontId="8" fillId="2" borderId="23" xfId="0" applyNumberFormat="1" applyFont="1" applyFill="1" applyBorder="1" applyAlignment="1">
      <alignment horizontal="center"/>
    </xf>
    <xf numFmtId="172" fontId="8" fillId="2" borderId="24" xfId="0" applyNumberFormat="1" applyFont="1" applyFill="1" applyBorder="1" applyAlignment="1">
      <alignment horizontal="center"/>
    </xf>
    <xf numFmtId="3" fontId="8" fillId="2" borderId="24" xfId="0" applyNumberFormat="1" applyFont="1" applyFill="1" applyBorder="1" applyAlignment="1">
      <alignment horizontal="center"/>
    </xf>
    <xf numFmtId="165" fontId="8" fillId="2" borderId="1" xfId="0" applyNumberFormat="1" applyFont="1" applyFill="1" applyBorder="1"/>
    <xf numFmtId="165" fontId="8" fillId="2" borderId="25" xfId="0" applyNumberFormat="1" applyFont="1" applyFill="1" applyBorder="1"/>
    <xf numFmtId="165" fontId="8" fillId="2" borderId="26" xfId="0" applyNumberFormat="1" applyFont="1" applyFill="1" applyBorder="1"/>
    <xf numFmtId="165" fontId="8" fillId="2" borderId="26" xfId="0" applyNumberFormat="1" applyFont="1" applyFill="1" applyBorder="1" applyAlignment="1">
      <alignment horizontal="center"/>
    </xf>
    <xf numFmtId="10" fontId="8" fillId="2" borderId="26" xfId="0" applyNumberFormat="1" applyFont="1" applyFill="1" applyBorder="1" applyAlignment="1">
      <alignment horizontal="center"/>
    </xf>
    <xf numFmtId="165" fontId="8" fillId="2" borderId="25" xfId="0" applyNumberFormat="1" applyFont="1" applyFill="1" applyBorder="1" applyAlignment="1">
      <alignment horizontal="center"/>
    </xf>
    <xf numFmtId="165" fontId="8" fillId="2" borderId="27" xfId="0" applyNumberFormat="1" applyFont="1" applyFill="1" applyBorder="1" applyAlignment="1">
      <alignment horizontal="center"/>
    </xf>
    <xf numFmtId="165" fontId="8" fillId="2" borderId="28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3" fontId="6" fillId="2" borderId="18" xfId="0" applyNumberFormat="1" applyFont="1" applyFill="1" applyBorder="1" applyAlignment="1">
      <alignment horizontal="left"/>
    </xf>
    <xf numFmtId="3" fontId="6" fillId="2" borderId="19" xfId="0" applyNumberFormat="1" applyFont="1" applyFill="1" applyBorder="1" applyAlignment="1">
      <alignment horizontal="center"/>
    </xf>
    <xf numFmtId="3" fontId="6" fillId="2" borderId="18" xfId="0" applyNumberFormat="1" applyFont="1" applyFill="1" applyBorder="1" applyAlignment="1">
      <alignment horizontal="center"/>
    </xf>
    <xf numFmtId="3" fontId="6" fillId="2" borderId="20" xfId="0" applyNumberFormat="1" applyFont="1" applyFill="1" applyBorder="1" applyAlignment="1">
      <alignment horizontal="center"/>
    </xf>
    <xf numFmtId="3" fontId="6" fillId="2" borderId="21" xfId="0" applyNumberFormat="1" applyFont="1" applyFill="1" applyBorder="1" applyAlignment="1">
      <alignment horizontal="center"/>
    </xf>
    <xf numFmtId="3" fontId="6" fillId="2" borderId="1" xfId="0" applyNumberFormat="1" applyFont="1" applyFill="1" applyBorder="1"/>
    <xf numFmtId="3" fontId="6" fillId="2" borderId="25" xfId="0" applyNumberFormat="1" applyFont="1" applyFill="1" applyBorder="1"/>
    <xf numFmtId="3" fontId="6" fillId="2" borderId="26" xfId="0" applyNumberFormat="1" applyFont="1" applyFill="1" applyBorder="1"/>
    <xf numFmtId="3" fontId="6" fillId="2" borderId="26" xfId="0" applyNumberFormat="1" applyFont="1" applyFill="1" applyBorder="1" applyAlignment="1">
      <alignment horizontal="center"/>
    </xf>
    <xf numFmtId="3" fontId="6" fillId="2" borderId="25" xfId="0" applyNumberFormat="1" applyFont="1" applyFill="1" applyBorder="1" applyAlignment="1">
      <alignment horizontal="center"/>
    </xf>
    <xf numFmtId="3" fontId="6" fillId="2" borderId="27" xfId="0" applyNumberFormat="1" applyFont="1" applyFill="1" applyBorder="1" applyAlignment="1">
      <alignment horizontal="center"/>
    </xf>
    <xf numFmtId="3" fontId="6" fillId="2" borderId="28" xfId="0" applyNumberFormat="1" applyFont="1" applyFill="1" applyBorder="1" applyAlignment="1">
      <alignment horizontal="center"/>
    </xf>
    <xf numFmtId="0" fontId="5" fillId="2" borderId="18" xfId="0" applyFont="1" applyFill="1" applyBorder="1"/>
    <xf numFmtId="0" fontId="5" fillId="2" borderId="19" xfId="0" applyFont="1" applyFill="1" applyBorder="1"/>
    <xf numFmtId="0" fontId="5" fillId="2" borderId="19" xfId="0" applyFont="1" applyFill="1" applyBorder="1" applyAlignment="1">
      <alignment horizontal="center"/>
    </xf>
    <xf numFmtId="172" fontId="5" fillId="2" borderId="19" xfId="0" applyNumberFormat="1" applyFont="1" applyFill="1" applyBorder="1" applyAlignment="1">
      <alignment horizontal="center"/>
    </xf>
    <xf numFmtId="172" fontId="5" fillId="9" borderId="18" xfId="0" applyNumberFormat="1" applyFont="1" applyFill="1" applyBorder="1" applyAlignment="1">
      <alignment horizontal="center"/>
    </xf>
    <xf numFmtId="172" fontId="5" fillId="9" borderId="19" xfId="0" applyNumberFormat="1" applyFont="1" applyFill="1" applyBorder="1" applyAlignment="1">
      <alignment horizontal="center"/>
    </xf>
    <xf numFmtId="172" fontId="5" fillId="9" borderId="20" xfId="0" applyNumberFormat="1" applyFont="1" applyFill="1" applyBorder="1" applyAlignment="1">
      <alignment horizontal="center"/>
    </xf>
    <xf numFmtId="172" fontId="5" fillId="5" borderId="20" xfId="0" applyNumberFormat="1" applyFont="1" applyFill="1" applyBorder="1" applyAlignment="1">
      <alignment horizontal="center"/>
    </xf>
    <xf numFmtId="0" fontId="8" fillId="2" borderId="22" xfId="0" applyFont="1" applyFill="1" applyBorder="1"/>
    <xf numFmtId="0" fontId="8" fillId="2" borderId="1" xfId="0" applyFont="1" applyFill="1" applyBorder="1" applyAlignment="1">
      <alignment horizontal="center"/>
    </xf>
    <xf numFmtId="172" fontId="8" fillId="2" borderId="1" xfId="0" applyNumberFormat="1" applyFont="1" applyFill="1" applyBorder="1" applyAlignment="1">
      <alignment horizontal="center"/>
    </xf>
    <xf numFmtId="172" fontId="8" fillId="9" borderId="22" xfId="0" applyNumberFormat="1" applyFont="1" applyFill="1" applyBorder="1" applyAlignment="1">
      <alignment horizontal="center"/>
    </xf>
    <xf numFmtId="172" fontId="8" fillId="9" borderId="1" xfId="0" applyNumberFormat="1" applyFont="1" applyFill="1" applyBorder="1" applyAlignment="1">
      <alignment horizontal="center"/>
    </xf>
    <xf numFmtId="172" fontId="8" fillId="9" borderId="23" xfId="0" applyNumberFormat="1" applyFont="1" applyFill="1" applyBorder="1" applyAlignment="1">
      <alignment horizontal="center"/>
    </xf>
    <xf numFmtId="172" fontId="8" fillId="5" borderId="23" xfId="0" applyNumberFormat="1" applyFont="1" applyFill="1" applyBorder="1" applyAlignment="1">
      <alignment horizontal="center"/>
    </xf>
    <xf numFmtId="0" fontId="8" fillId="2" borderId="25" xfId="0" applyFont="1" applyFill="1" applyBorder="1"/>
    <xf numFmtId="0" fontId="8" fillId="2" borderId="26" xfId="0" applyFont="1" applyFill="1" applyBorder="1"/>
    <xf numFmtId="0" fontId="8" fillId="2" borderId="26" xfId="0" applyFont="1" applyFill="1" applyBorder="1" applyAlignment="1">
      <alignment horizontal="center"/>
    </xf>
    <xf numFmtId="172" fontId="8" fillId="2" borderId="26" xfId="0" applyNumberFormat="1" applyFont="1" applyFill="1" applyBorder="1" applyAlignment="1">
      <alignment horizontal="center"/>
    </xf>
    <xf numFmtId="172" fontId="8" fillId="9" borderId="25" xfId="0" applyNumberFormat="1" applyFont="1" applyFill="1" applyBorder="1" applyAlignment="1">
      <alignment horizontal="center"/>
    </xf>
    <xf numFmtId="172" fontId="8" fillId="9" borderId="26" xfId="0" applyNumberFormat="1" applyFont="1" applyFill="1" applyBorder="1" applyAlignment="1">
      <alignment horizontal="center"/>
    </xf>
    <xf numFmtId="172" fontId="8" fillId="9" borderId="27" xfId="0" applyNumberFormat="1" applyFont="1" applyFill="1" applyBorder="1" applyAlignment="1">
      <alignment horizontal="center"/>
    </xf>
    <xf numFmtId="172" fontId="8" fillId="5" borderId="27" xfId="0" applyNumberFormat="1" applyFont="1" applyFill="1" applyBorder="1" applyAlignment="1">
      <alignment horizontal="center"/>
    </xf>
    <xf numFmtId="165" fontId="8" fillId="2" borderId="1" xfId="0" applyNumberFormat="1" applyFont="1" applyFill="1" applyBorder="1" applyAlignment="1">
      <alignment horizontal="center"/>
    </xf>
    <xf numFmtId="165" fontId="8" fillId="2" borderId="29" xfId="0" applyNumberFormat="1" applyFont="1" applyFill="1" applyBorder="1" applyAlignment="1">
      <alignment horizontal="center"/>
    </xf>
    <xf numFmtId="9" fontId="8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17" fontId="1" fillId="2" borderId="1" xfId="0" applyNumberFormat="1" applyFont="1" applyFill="1" applyBorder="1"/>
    <xf numFmtId="173" fontId="1" fillId="2" borderId="1" xfId="0" applyNumberFormat="1" applyFont="1" applyFill="1" applyBorder="1" applyAlignment="1">
      <alignment horizontal="center"/>
    </xf>
    <xf numFmtId="174" fontId="1" fillId="2" borderId="1" xfId="0" applyNumberFormat="1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5" fillId="2" borderId="14" xfId="0" applyFont="1" applyFill="1" applyBorder="1"/>
    <xf numFmtId="0" fontId="8" fillId="2" borderId="15" xfId="0" applyFont="1" applyFill="1" applyBorder="1"/>
    <xf numFmtId="0" fontId="8" fillId="2" borderId="17" xfId="0" applyFont="1" applyFill="1" applyBorder="1"/>
    <xf numFmtId="0" fontId="8" fillId="2" borderId="17" xfId="0" applyFont="1" applyFill="1" applyBorder="1" applyAlignment="1">
      <alignment horizontal="center"/>
    </xf>
    <xf numFmtId="0" fontId="14" fillId="10" borderId="33" xfId="0" applyFont="1" applyFill="1" applyBorder="1"/>
    <xf numFmtId="0" fontId="15" fillId="10" borderId="34" xfId="0" applyFont="1" applyFill="1" applyBorder="1"/>
    <xf numFmtId="0" fontId="15" fillId="10" borderId="35" xfId="0" applyFont="1" applyFill="1" applyBorder="1"/>
    <xf numFmtId="0" fontId="15" fillId="10" borderId="35" xfId="0" applyFont="1" applyFill="1" applyBorder="1" applyAlignment="1">
      <alignment horizontal="center"/>
    </xf>
    <xf numFmtId="164" fontId="15" fillId="11" borderId="11" xfId="0" applyNumberFormat="1" applyFont="1" applyFill="1" applyBorder="1"/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3" borderId="6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1" fillId="2" borderId="30" xfId="0" applyFont="1" applyFill="1" applyBorder="1" applyAlignment="1">
      <alignment horizontal="center"/>
    </xf>
    <xf numFmtId="0" fontId="3" fillId="0" borderId="31" xfId="0" applyFont="1" applyBorder="1"/>
    <xf numFmtId="0" fontId="3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2</xdr:row>
      <xdr:rowOff>133350</xdr:rowOff>
    </xdr:from>
    <xdr:to>
      <xdr:col>22</xdr:col>
      <xdr:colOff>198465</xdr:colOff>
      <xdr:row>14</xdr:row>
      <xdr:rowOff>114017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3BD775F-0192-9EA1-0FC2-C63F082F5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514350"/>
          <a:ext cx="12476190" cy="22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15</xdr:row>
      <xdr:rowOff>38100</xdr:rowOff>
    </xdr:from>
    <xdr:to>
      <xdr:col>21</xdr:col>
      <xdr:colOff>446177</xdr:colOff>
      <xdr:row>40</xdr:row>
      <xdr:rowOff>104171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A03AF30-75E6-5D61-D1A2-60C1BDAD2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825" y="2895600"/>
          <a:ext cx="11980952" cy="4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44</xdr:row>
      <xdr:rowOff>96914</xdr:rowOff>
    </xdr:from>
    <xdr:to>
      <xdr:col>22</xdr:col>
      <xdr:colOff>227047</xdr:colOff>
      <xdr:row>65</xdr:row>
      <xdr:rowOff>75689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9C1C365-0084-0792-7096-9AF3FB5DE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4475" y="8478914"/>
          <a:ext cx="12123772" cy="3979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A067-611D-43E9-A880-636D2F5B59E5}">
  <sheetPr>
    <pageSetUpPr fitToPage="1"/>
  </sheetPr>
  <dimension ref="A1:AW991"/>
  <sheetViews>
    <sheetView tabSelected="1"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N25" sqref="N25"/>
    </sheetView>
  </sheetViews>
  <sheetFormatPr defaultColWidth="14.42578125" defaultRowHeight="15" customHeight="1" x14ac:dyDescent="0.25"/>
  <cols>
    <col min="1" max="1" width="4.42578125" customWidth="1"/>
    <col min="2" max="2" width="7.28515625" customWidth="1"/>
    <col min="3" max="3" width="4.42578125" customWidth="1"/>
    <col min="4" max="4" width="20.140625" customWidth="1"/>
    <col min="5" max="5" width="10.85546875" customWidth="1"/>
    <col min="6" max="44" width="11.5703125" customWidth="1"/>
    <col min="45" max="45" width="13.85546875" customWidth="1"/>
    <col min="46" max="48" width="12.28515625" customWidth="1"/>
    <col min="49" max="49" width="13.85546875" customWidth="1"/>
  </cols>
  <sheetData>
    <row r="1" spans="1:49" ht="13.5" customHeight="1" x14ac:dyDescent="0.3">
      <c r="A1" s="1"/>
      <c r="B1" s="192"/>
      <c r="C1" s="193"/>
      <c r="D1" s="194"/>
      <c r="E1" s="2"/>
      <c r="F1" s="195" t="s">
        <v>0</v>
      </c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7"/>
      <c r="AP1" s="3"/>
      <c r="AQ1" s="3"/>
      <c r="AR1" s="3"/>
      <c r="AS1" s="3"/>
      <c r="AT1" s="3"/>
      <c r="AU1" s="3"/>
      <c r="AV1" s="3"/>
      <c r="AW1" s="3"/>
    </row>
    <row r="2" spans="1:49" ht="13.5" customHeight="1" x14ac:dyDescent="0.3">
      <c r="A2" s="1"/>
      <c r="B2" s="4"/>
      <c r="C2" s="5"/>
      <c r="D2" s="6"/>
      <c r="E2" s="7" t="s">
        <v>1</v>
      </c>
      <c r="F2" s="8">
        <f ca="1">TODAY()+91</f>
        <v>46285</v>
      </c>
      <c r="G2" s="8">
        <f t="shared" ref="G2:AO2" ca="1" si="0">F2+31</f>
        <v>46316</v>
      </c>
      <c r="H2" s="8">
        <f t="shared" ca="1" si="0"/>
        <v>46347</v>
      </c>
      <c r="I2" s="8">
        <f t="shared" ca="1" si="0"/>
        <v>46378</v>
      </c>
      <c r="J2" s="8">
        <f t="shared" ca="1" si="0"/>
        <v>46409</v>
      </c>
      <c r="K2" s="8">
        <f t="shared" ca="1" si="0"/>
        <v>46440</v>
      </c>
      <c r="L2" s="8">
        <f t="shared" ca="1" si="0"/>
        <v>46471</v>
      </c>
      <c r="M2" s="8">
        <f t="shared" ca="1" si="0"/>
        <v>46502</v>
      </c>
      <c r="N2" s="8">
        <f t="shared" ca="1" si="0"/>
        <v>46533</v>
      </c>
      <c r="O2" s="8">
        <f t="shared" ca="1" si="0"/>
        <v>46564</v>
      </c>
      <c r="P2" s="8">
        <f t="shared" ca="1" si="0"/>
        <v>46595</v>
      </c>
      <c r="Q2" s="8">
        <f t="shared" ca="1" si="0"/>
        <v>46626</v>
      </c>
      <c r="R2" s="8">
        <f t="shared" ca="1" si="0"/>
        <v>46657</v>
      </c>
      <c r="S2" s="8">
        <f t="shared" ca="1" si="0"/>
        <v>46688</v>
      </c>
      <c r="T2" s="8">
        <f t="shared" ca="1" si="0"/>
        <v>46719</v>
      </c>
      <c r="U2" s="8">
        <f t="shared" ca="1" si="0"/>
        <v>46750</v>
      </c>
      <c r="V2" s="8">
        <f t="shared" ca="1" si="0"/>
        <v>46781</v>
      </c>
      <c r="W2" s="8">
        <f t="shared" ca="1" si="0"/>
        <v>46812</v>
      </c>
      <c r="X2" s="8">
        <f t="shared" ca="1" si="0"/>
        <v>46843</v>
      </c>
      <c r="Y2" s="8">
        <f t="shared" ca="1" si="0"/>
        <v>46874</v>
      </c>
      <c r="Z2" s="8">
        <f t="shared" ca="1" si="0"/>
        <v>46905</v>
      </c>
      <c r="AA2" s="8">
        <f t="shared" ca="1" si="0"/>
        <v>46936</v>
      </c>
      <c r="AB2" s="8">
        <f t="shared" ca="1" si="0"/>
        <v>46967</v>
      </c>
      <c r="AC2" s="8">
        <f t="shared" ca="1" si="0"/>
        <v>46998</v>
      </c>
      <c r="AD2" s="8">
        <f t="shared" ca="1" si="0"/>
        <v>47029</v>
      </c>
      <c r="AE2" s="8">
        <f t="shared" ca="1" si="0"/>
        <v>47060</v>
      </c>
      <c r="AF2" s="8">
        <f t="shared" ca="1" si="0"/>
        <v>47091</v>
      </c>
      <c r="AG2" s="8">
        <f t="shared" ca="1" si="0"/>
        <v>47122</v>
      </c>
      <c r="AH2" s="8">
        <f t="shared" ca="1" si="0"/>
        <v>47153</v>
      </c>
      <c r="AI2" s="8">
        <f t="shared" ca="1" si="0"/>
        <v>47184</v>
      </c>
      <c r="AJ2" s="8">
        <f t="shared" ca="1" si="0"/>
        <v>47215</v>
      </c>
      <c r="AK2" s="8">
        <f t="shared" ca="1" si="0"/>
        <v>47246</v>
      </c>
      <c r="AL2" s="8">
        <f t="shared" ca="1" si="0"/>
        <v>47277</v>
      </c>
      <c r="AM2" s="8">
        <f t="shared" ca="1" si="0"/>
        <v>47308</v>
      </c>
      <c r="AN2" s="8">
        <f t="shared" ca="1" si="0"/>
        <v>47339</v>
      </c>
      <c r="AO2" s="8">
        <f t="shared" ca="1" si="0"/>
        <v>47370</v>
      </c>
      <c r="AP2" s="8" t="s">
        <v>2</v>
      </c>
      <c r="AQ2" s="8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5</v>
      </c>
    </row>
    <row r="3" spans="1:49" ht="13.5" customHeight="1" x14ac:dyDescent="0.3">
      <c r="A3" s="9"/>
      <c r="B3" s="10" t="s">
        <v>9</v>
      </c>
      <c r="C3" s="11"/>
      <c r="D3" s="12"/>
      <c r="E3" s="13"/>
      <c r="F3" s="14">
        <f t="shared" ref="F3:AO3" si="1">SUM(F4:F6)</f>
        <v>48500</v>
      </c>
      <c r="G3" s="14">
        <f t="shared" si="1"/>
        <v>64700</v>
      </c>
      <c r="H3" s="14">
        <f t="shared" si="1"/>
        <v>72485</v>
      </c>
      <c r="I3" s="14">
        <f t="shared" si="1"/>
        <v>82734.3</v>
      </c>
      <c r="J3" s="14">
        <f t="shared" si="1"/>
        <v>84174.273000000001</v>
      </c>
      <c r="K3" s="14">
        <f t="shared" si="1"/>
        <v>85715.221229999996</v>
      </c>
      <c r="L3" s="14">
        <f t="shared" si="1"/>
        <v>87366.811992300019</v>
      </c>
      <c r="M3" s="14">
        <f t="shared" si="1"/>
        <v>114452.17501722301</v>
      </c>
      <c r="N3" s="14">
        <f t="shared" si="1"/>
        <v>121420.49866289525</v>
      </c>
      <c r="O3" s="14">
        <f t="shared" si="1"/>
        <v>129040.88573457421</v>
      </c>
      <c r="P3" s="14">
        <f t="shared" si="1"/>
        <v>204759.96988547497</v>
      </c>
      <c r="Q3" s="14">
        <f t="shared" si="1"/>
        <v>220623.41865724028</v>
      </c>
      <c r="R3" s="14">
        <f t="shared" si="1"/>
        <v>249126.11402817353</v>
      </c>
      <c r="S3" s="14">
        <f t="shared" si="1"/>
        <v>268629.48763609893</v>
      </c>
      <c r="T3" s="14">
        <f t="shared" si="1"/>
        <v>290083.19860481675</v>
      </c>
      <c r="U3" s="14">
        <f t="shared" si="1"/>
        <v>313682.28067040647</v>
      </c>
      <c r="V3" s="14">
        <f t="shared" si="1"/>
        <v>313682.28067040647</v>
      </c>
      <c r="W3" s="14">
        <f t="shared" si="1"/>
        <v>313682.28067040647</v>
      </c>
      <c r="X3" s="14">
        <f t="shared" si="1"/>
        <v>313682.28067040647</v>
      </c>
      <c r="Y3" s="14">
        <f t="shared" si="1"/>
        <v>313682.28067040647</v>
      </c>
      <c r="Z3" s="14">
        <f t="shared" si="1"/>
        <v>313682.28067040647</v>
      </c>
      <c r="AA3" s="14">
        <f t="shared" si="1"/>
        <v>313682.28067040647</v>
      </c>
      <c r="AB3" s="14">
        <f t="shared" si="1"/>
        <v>313682.28067040647</v>
      </c>
      <c r="AC3" s="14">
        <f t="shared" si="1"/>
        <v>317242.83842603257</v>
      </c>
      <c r="AD3" s="14">
        <f t="shared" si="1"/>
        <v>317242.83842603257</v>
      </c>
      <c r="AE3" s="14">
        <f t="shared" si="1"/>
        <v>317242.83842603257</v>
      </c>
      <c r="AF3" s="14">
        <f t="shared" si="1"/>
        <v>313545.47834750079</v>
      </c>
      <c r="AG3" s="14">
        <f t="shared" si="1"/>
        <v>313545.47834750079</v>
      </c>
      <c r="AH3" s="14">
        <f t="shared" si="1"/>
        <v>313545.47834750079</v>
      </c>
      <c r="AI3" s="14">
        <f t="shared" si="1"/>
        <v>313545.47834750079</v>
      </c>
      <c r="AJ3" s="14">
        <f t="shared" si="1"/>
        <v>313545.47834750079</v>
      </c>
      <c r="AK3" s="14">
        <f t="shared" si="1"/>
        <v>313545.47834750079</v>
      </c>
      <c r="AL3" s="14">
        <f t="shared" si="1"/>
        <v>313545.47834750079</v>
      </c>
      <c r="AM3" s="14">
        <f t="shared" si="1"/>
        <v>326524.9734835751</v>
      </c>
      <c r="AN3" s="14">
        <f t="shared" si="1"/>
        <v>326524.9734835751</v>
      </c>
      <c r="AO3" s="14">
        <f t="shared" si="1"/>
        <v>326524.9734835751</v>
      </c>
      <c r="AP3" s="15">
        <f t="shared" ref="AP3:AP26" si="2">SUM(F3:Q3)</f>
        <v>1315972.5541797075</v>
      </c>
      <c r="AQ3" s="15">
        <f t="shared" ref="AQ3:AQ26" si="3">SUM(R3:AC3)</f>
        <v>3634539.884058373</v>
      </c>
      <c r="AR3" s="15">
        <f t="shared" ref="AR3:AR26" si="4">SUM(AD3:AO3)</f>
        <v>3808878.9457352958</v>
      </c>
      <c r="AS3" s="16">
        <f t="shared" ref="AS3:AS28" si="5">SUM(AP3:AR3)</f>
        <v>8759391.3839733768</v>
      </c>
      <c r="AT3" s="15">
        <f t="shared" ref="AT3:AV18" si="6">AP3/12</f>
        <v>109664.37951497563</v>
      </c>
      <c r="AU3" s="15">
        <f t="shared" si="6"/>
        <v>302878.32367153111</v>
      </c>
      <c r="AV3" s="15">
        <f t="shared" si="6"/>
        <v>317406.57881127467</v>
      </c>
      <c r="AW3" s="16">
        <f t="shared" ref="AW3:AW28" si="7">SUM(AT3:AV3)</f>
        <v>729949.28199778148</v>
      </c>
    </row>
    <row r="4" spans="1:49" ht="13.5" customHeight="1" x14ac:dyDescent="0.3">
      <c r="A4" s="17"/>
      <c r="B4" s="10"/>
      <c r="C4" s="18" t="s">
        <v>10</v>
      </c>
      <c r="D4" s="19"/>
      <c r="E4" s="13"/>
      <c r="F4" s="20">
        <f t="shared" ref="F4:AO4" si="8">F18*F32</f>
        <v>35000</v>
      </c>
      <c r="G4" s="20">
        <f t="shared" si="8"/>
        <v>45500</v>
      </c>
      <c r="H4" s="20">
        <f t="shared" si="8"/>
        <v>46865</v>
      </c>
      <c r="I4" s="20">
        <f t="shared" si="8"/>
        <v>47802.3</v>
      </c>
      <c r="J4" s="20">
        <f t="shared" si="8"/>
        <v>48280.322999999997</v>
      </c>
      <c r="K4" s="20">
        <f t="shared" si="8"/>
        <v>48763.126230000002</v>
      </c>
      <c r="L4" s="20">
        <f t="shared" si="8"/>
        <v>49250.757492299999</v>
      </c>
      <c r="M4" s="20">
        <f t="shared" si="8"/>
        <v>49743.265067223001</v>
      </c>
      <c r="N4" s="20">
        <f t="shared" si="8"/>
        <v>50240.697717895237</v>
      </c>
      <c r="O4" s="20">
        <f t="shared" si="8"/>
        <v>50743.104695074187</v>
      </c>
      <c r="P4" s="20">
        <f t="shared" si="8"/>
        <v>51250.535742024935</v>
      </c>
      <c r="Q4" s="20">
        <f t="shared" si="8"/>
        <v>51763.041099445181</v>
      </c>
      <c r="R4" s="20">
        <f t="shared" si="8"/>
        <v>54092.377948920213</v>
      </c>
      <c r="S4" s="20">
        <f t="shared" si="8"/>
        <v>54092.377948920213</v>
      </c>
      <c r="T4" s="20">
        <f t="shared" si="8"/>
        <v>54092.377948920213</v>
      </c>
      <c r="U4" s="20">
        <f t="shared" si="8"/>
        <v>54092.377948920213</v>
      </c>
      <c r="V4" s="20">
        <f t="shared" si="8"/>
        <v>54092.377948920213</v>
      </c>
      <c r="W4" s="20">
        <f t="shared" si="8"/>
        <v>54092.377948920213</v>
      </c>
      <c r="X4" s="20">
        <f t="shared" si="8"/>
        <v>54092.377948920213</v>
      </c>
      <c r="Y4" s="20">
        <f t="shared" si="8"/>
        <v>54092.377948920213</v>
      </c>
      <c r="Z4" s="20">
        <f t="shared" si="8"/>
        <v>54092.377948920213</v>
      </c>
      <c r="AA4" s="20">
        <f t="shared" si="8"/>
        <v>54092.377948920213</v>
      </c>
      <c r="AB4" s="20">
        <f t="shared" si="8"/>
        <v>54092.377948920213</v>
      </c>
      <c r="AC4" s="20">
        <f t="shared" si="8"/>
        <v>57652.935704546333</v>
      </c>
      <c r="AD4" s="20">
        <f t="shared" si="8"/>
        <v>57652.935704546333</v>
      </c>
      <c r="AE4" s="20">
        <f t="shared" si="8"/>
        <v>57652.935704546333</v>
      </c>
      <c r="AF4" s="20">
        <f t="shared" si="8"/>
        <v>53955.575626014535</v>
      </c>
      <c r="AG4" s="20">
        <f t="shared" si="8"/>
        <v>53955.575626014535</v>
      </c>
      <c r="AH4" s="20">
        <f t="shared" si="8"/>
        <v>53955.575626014535</v>
      </c>
      <c r="AI4" s="20">
        <f t="shared" si="8"/>
        <v>53955.575626014535</v>
      </c>
      <c r="AJ4" s="20">
        <f t="shared" si="8"/>
        <v>53955.575626014535</v>
      </c>
      <c r="AK4" s="20">
        <f t="shared" si="8"/>
        <v>53955.575626014535</v>
      </c>
      <c r="AL4" s="20">
        <f t="shared" si="8"/>
        <v>53955.575626014535</v>
      </c>
      <c r="AM4" s="20">
        <f t="shared" si="8"/>
        <v>53955.575626014535</v>
      </c>
      <c r="AN4" s="20">
        <f t="shared" si="8"/>
        <v>53955.575626014535</v>
      </c>
      <c r="AO4" s="20">
        <f t="shared" si="8"/>
        <v>53955.575626014535</v>
      </c>
      <c r="AP4" s="21">
        <f t="shared" si="2"/>
        <v>575202.15104396257</v>
      </c>
      <c r="AQ4" s="21">
        <f t="shared" si="3"/>
        <v>652669.09314266883</v>
      </c>
      <c r="AR4" s="21">
        <f t="shared" si="4"/>
        <v>654861.62766923802</v>
      </c>
      <c r="AS4" s="22">
        <f t="shared" si="5"/>
        <v>1882732.8718558694</v>
      </c>
      <c r="AT4" s="21">
        <f t="shared" si="6"/>
        <v>47933.512586996883</v>
      </c>
      <c r="AU4" s="21">
        <f t="shared" si="6"/>
        <v>54389.0910952224</v>
      </c>
      <c r="AV4" s="21">
        <f t="shared" si="6"/>
        <v>54571.802305769837</v>
      </c>
      <c r="AW4" s="22">
        <f t="shared" si="7"/>
        <v>156894.40598798913</v>
      </c>
    </row>
    <row r="5" spans="1:49" ht="13.5" customHeight="1" x14ac:dyDescent="0.3">
      <c r="A5" s="17"/>
      <c r="B5" s="10"/>
      <c r="C5" s="18" t="s">
        <v>11</v>
      </c>
      <c r="D5" s="19"/>
      <c r="E5" s="13"/>
      <c r="F5" s="20">
        <f t="shared" ref="F5:AO5" si="9">(F39*F34)</f>
        <v>7500</v>
      </c>
      <c r="G5" s="20">
        <f t="shared" si="9"/>
        <v>11250</v>
      </c>
      <c r="H5" s="20">
        <f t="shared" si="9"/>
        <v>16875</v>
      </c>
      <c r="I5" s="20">
        <f t="shared" si="9"/>
        <v>25312.5</v>
      </c>
      <c r="J5" s="20">
        <f t="shared" si="9"/>
        <v>25312.5</v>
      </c>
      <c r="K5" s="20">
        <f t="shared" si="9"/>
        <v>25312.5</v>
      </c>
      <c r="L5" s="20">
        <f t="shared" si="9"/>
        <v>25312.5</v>
      </c>
      <c r="M5" s="20">
        <f t="shared" si="9"/>
        <v>50625</v>
      </c>
      <c r="N5" s="20">
        <f t="shared" si="9"/>
        <v>55687.500000000007</v>
      </c>
      <c r="O5" s="20">
        <f t="shared" si="9"/>
        <v>61256.250000000022</v>
      </c>
      <c r="P5" s="20">
        <f t="shared" si="9"/>
        <v>134763.75000000003</v>
      </c>
      <c r="Q5" s="20">
        <f t="shared" si="9"/>
        <v>148240.12500000006</v>
      </c>
      <c r="R5" s="20">
        <f t="shared" si="9"/>
        <v>171217.34437500007</v>
      </c>
      <c r="S5" s="20">
        <f t="shared" si="9"/>
        <v>188339.07881250011</v>
      </c>
      <c r="T5" s="20">
        <f t="shared" si="9"/>
        <v>207172.98669375011</v>
      </c>
      <c r="U5" s="20">
        <f t="shared" si="9"/>
        <v>227890.28536312515</v>
      </c>
      <c r="V5" s="20">
        <f t="shared" si="9"/>
        <v>227890.28536312515</v>
      </c>
      <c r="W5" s="20">
        <f t="shared" si="9"/>
        <v>227890.28536312515</v>
      </c>
      <c r="X5" s="20">
        <f t="shared" si="9"/>
        <v>227890.28536312515</v>
      </c>
      <c r="Y5" s="20">
        <f t="shared" si="9"/>
        <v>227890.28536312515</v>
      </c>
      <c r="Z5" s="20">
        <f t="shared" si="9"/>
        <v>227890.28536312515</v>
      </c>
      <c r="AA5" s="20">
        <f t="shared" si="9"/>
        <v>227890.28536312515</v>
      </c>
      <c r="AB5" s="20">
        <f t="shared" si="9"/>
        <v>227890.28536312515</v>
      </c>
      <c r="AC5" s="20">
        <f t="shared" si="9"/>
        <v>227890.28536312515</v>
      </c>
      <c r="AD5" s="20">
        <f t="shared" si="9"/>
        <v>227890.28536312515</v>
      </c>
      <c r="AE5" s="20">
        <f t="shared" si="9"/>
        <v>227890.28536312515</v>
      </c>
      <c r="AF5" s="20">
        <f t="shared" si="9"/>
        <v>227890.28536312515</v>
      </c>
      <c r="AG5" s="20">
        <f t="shared" si="9"/>
        <v>227890.28536312515</v>
      </c>
      <c r="AH5" s="20">
        <f t="shared" si="9"/>
        <v>227890.28536312515</v>
      </c>
      <c r="AI5" s="20">
        <f t="shared" si="9"/>
        <v>227890.28536312515</v>
      </c>
      <c r="AJ5" s="20">
        <f t="shared" si="9"/>
        <v>227890.28536312515</v>
      </c>
      <c r="AK5" s="20">
        <f t="shared" si="9"/>
        <v>227890.28536312515</v>
      </c>
      <c r="AL5" s="20">
        <f t="shared" si="9"/>
        <v>227890.28536312515</v>
      </c>
      <c r="AM5" s="20">
        <f t="shared" si="9"/>
        <v>239284.79963128141</v>
      </c>
      <c r="AN5" s="20">
        <f t="shared" si="9"/>
        <v>239284.79963128141</v>
      </c>
      <c r="AO5" s="20">
        <f t="shared" si="9"/>
        <v>239284.79963128141</v>
      </c>
      <c r="AP5" s="21">
        <f t="shared" si="2"/>
        <v>587447.625</v>
      </c>
      <c r="AQ5" s="21">
        <f t="shared" si="3"/>
        <v>2617741.9781493768</v>
      </c>
      <c r="AR5" s="21">
        <f t="shared" si="4"/>
        <v>2768866.9671619702</v>
      </c>
      <c r="AS5" s="22">
        <f t="shared" si="5"/>
        <v>5974056.570311347</v>
      </c>
      <c r="AT5" s="21">
        <f t="shared" si="6"/>
        <v>48953.96875</v>
      </c>
      <c r="AU5" s="21">
        <f t="shared" si="6"/>
        <v>218145.1648457814</v>
      </c>
      <c r="AV5" s="21">
        <f t="shared" si="6"/>
        <v>230738.91393016418</v>
      </c>
      <c r="AW5" s="22">
        <f t="shared" si="7"/>
        <v>497838.04752594559</v>
      </c>
    </row>
    <row r="6" spans="1:49" ht="13.5" customHeight="1" x14ac:dyDescent="0.3">
      <c r="A6" s="17"/>
      <c r="B6" s="10"/>
      <c r="C6" s="18" t="s">
        <v>12</v>
      </c>
      <c r="D6" s="19"/>
      <c r="E6" s="13"/>
      <c r="F6" s="20">
        <f t="shared" ref="F6:AO6" si="10">F34*F46</f>
        <v>6000</v>
      </c>
      <c r="G6" s="20">
        <f t="shared" si="10"/>
        <v>7950.0000000000009</v>
      </c>
      <c r="H6" s="20">
        <f t="shared" si="10"/>
        <v>8745</v>
      </c>
      <c r="I6" s="20">
        <f t="shared" si="10"/>
        <v>9619.5000000000018</v>
      </c>
      <c r="J6" s="20">
        <f t="shared" si="10"/>
        <v>10581.450000000003</v>
      </c>
      <c r="K6" s="20">
        <f t="shared" si="10"/>
        <v>11639.595000000005</v>
      </c>
      <c r="L6" s="20">
        <f t="shared" si="10"/>
        <v>12803.554500000007</v>
      </c>
      <c r="M6" s="20">
        <f t="shared" si="10"/>
        <v>14083.90995000001</v>
      </c>
      <c r="N6" s="20">
        <f t="shared" si="10"/>
        <v>15492.300945000012</v>
      </c>
      <c r="O6" s="20">
        <f t="shared" si="10"/>
        <v>17041.531039500012</v>
      </c>
      <c r="P6" s="20">
        <f t="shared" si="10"/>
        <v>18745.68414345002</v>
      </c>
      <c r="Q6" s="20">
        <f t="shared" si="10"/>
        <v>20620.252557795018</v>
      </c>
      <c r="R6" s="20">
        <f t="shared" si="10"/>
        <v>23816.391704253252</v>
      </c>
      <c r="S6" s="20">
        <f t="shared" si="10"/>
        <v>26198.030874678578</v>
      </c>
      <c r="T6" s="20">
        <f t="shared" si="10"/>
        <v>28817.83396214644</v>
      </c>
      <c r="U6" s="20">
        <f t="shared" si="10"/>
        <v>31699.61735836108</v>
      </c>
      <c r="V6" s="20">
        <f t="shared" si="10"/>
        <v>31699.61735836108</v>
      </c>
      <c r="W6" s="20">
        <f t="shared" si="10"/>
        <v>31699.61735836108</v>
      </c>
      <c r="X6" s="20">
        <f t="shared" si="10"/>
        <v>31699.61735836108</v>
      </c>
      <c r="Y6" s="20">
        <f t="shared" si="10"/>
        <v>31699.61735836108</v>
      </c>
      <c r="Z6" s="20">
        <f t="shared" si="10"/>
        <v>31699.61735836108</v>
      </c>
      <c r="AA6" s="20">
        <f t="shared" si="10"/>
        <v>31699.61735836108</v>
      </c>
      <c r="AB6" s="20">
        <f t="shared" si="10"/>
        <v>31699.61735836108</v>
      </c>
      <c r="AC6" s="20">
        <f t="shared" si="10"/>
        <v>31699.61735836108</v>
      </c>
      <c r="AD6" s="20">
        <f t="shared" si="10"/>
        <v>31699.61735836108</v>
      </c>
      <c r="AE6" s="20">
        <f t="shared" si="10"/>
        <v>31699.61735836108</v>
      </c>
      <c r="AF6" s="20">
        <f t="shared" si="10"/>
        <v>31699.61735836108</v>
      </c>
      <c r="AG6" s="20">
        <f t="shared" si="10"/>
        <v>31699.61735836108</v>
      </c>
      <c r="AH6" s="20">
        <f t="shared" si="10"/>
        <v>31699.61735836108</v>
      </c>
      <c r="AI6" s="20">
        <f t="shared" si="10"/>
        <v>31699.61735836108</v>
      </c>
      <c r="AJ6" s="20">
        <f t="shared" si="10"/>
        <v>31699.61735836108</v>
      </c>
      <c r="AK6" s="20">
        <f t="shared" si="10"/>
        <v>31699.61735836108</v>
      </c>
      <c r="AL6" s="20">
        <f t="shared" si="10"/>
        <v>31699.61735836108</v>
      </c>
      <c r="AM6" s="20">
        <f t="shared" si="10"/>
        <v>33284.598226279137</v>
      </c>
      <c r="AN6" s="20">
        <f t="shared" si="10"/>
        <v>33284.598226279137</v>
      </c>
      <c r="AO6" s="20">
        <f t="shared" si="10"/>
        <v>33284.598226279137</v>
      </c>
      <c r="AP6" s="21">
        <f t="shared" si="2"/>
        <v>153322.77813574512</v>
      </c>
      <c r="AQ6" s="21">
        <f t="shared" si="3"/>
        <v>364128.81276632799</v>
      </c>
      <c r="AR6" s="21">
        <f t="shared" si="4"/>
        <v>385150.35090408713</v>
      </c>
      <c r="AS6" s="22">
        <f t="shared" si="5"/>
        <v>902601.94180616015</v>
      </c>
      <c r="AT6" s="21">
        <f t="shared" si="6"/>
        <v>12776.898177978759</v>
      </c>
      <c r="AU6" s="21">
        <f t="shared" si="6"/>
        <v>30344.067730527331</v>
      </c>
      <c r="AV6" s="21">
        <f t="shared" si="6"/>
        <v>32095.862575340594</v>
      </c>
      <c r="AW6" s="22">
        <f t="shared" si="7"/>
        <v>75216.828483846679</v>
      </c>
    </row>
    <row r="7" spans="1:49" ht="13.5" customHeight="1" x14ac:dyDescent="0.3">
      <c r="A7" s="9"/>
      <c r="B7" s="10" t="s">
        <v>13</v>
      </c>
      <c r="C7" s="11"/>
      <c r="D7" s="12"/>
      <c r="E7" s="23"/>
      <c r="F7" s="14">
        <f t="shared" ref="F7:AO7" si="11">SUM(F8:F9)</f>
        <v>10500.25</v>
      </c>
      <c r="G7" s="14">
        <f t="shared" si="11"/>
        <v>14007.55</v>
      </c>
      <c r="H7" s="14">
        <f t="shared" si="11"/>
        <v>15693.002499999999</v>
      </c>
      <c r="I7" s="14">
        <f t="shared" si="11"/>
        <v>17911.97595</v>
      </c>
      <c r="J7" s="14">
        <f t="shared" si="11"/>
        <v>18223.730104499999</v>
      </c>
      <c r="K7" s="14">
        <f t="shared" si="11"/>
        <v>18557.345396294997</v>
      </c>
      <c r="L7" s="14">
        <f t="shared" si="11"/>
        <v>18914.914796332952</v>
      </c>
      <c r="M7" s="14">
        <f t="shared" si="11"/>
        <v>24778.895891228782</v>
      </c>
      <c r="N7" s="14">
        <f t="shared" si="11"/>
        <v>26287.53796051682</v>
      </c>
      <c r="O7" s="14">
        <f t="shared" si="11"/>
        <v>27937.351761535316</v>
      </c>
      <c r="P7" s="14">
        <f t="shared" si="11"/>
        <v>44330.533480205333</v>
      </c>
      <c r="Q7" s="14">
        <f t="shared" si="11"/>
        <v>47764.97013929252</v>
      </c>
      <c r="R7" s="14">
        <f t="shared" si="11"/>
        <v>53935.803687099564</v>
      </c>
      <c r="S7" s="14">
        <f t="shared" si="11"/>
        <v>58158.284073215415</v>
      </c>
      <c r="T7" s="14">
        <f t="shared" si="11"/>
        <v>62803.012497942822</v>
      </c>
      <c r="U7" s="14">
        <f t="shared" si="11"/>
        <v>67912.213765142995</v>
      </c>
      <c r="V7" s="14">
        <f t="shared" si="11"/>
        <v>67912.213765142995</v>
      </c>
      <c r="W7" s="14">
        <f t="shared" si="11"/>
        <v>67912.213765142995</v>
      </c>
      <c r="X7" s="14">
        <f t="shared" si="11"/>
        <v>67912.213765142995</v>
      </c>
      <c r="Y7" s="14">
        <f t="shared" si="11"/>
        <v>67912.213765142995</v>
      </c>
      <c r="Z7" s="14">
        <f t="shared" si="11"/>
        <v>67912.213765142995</v>
      </c>
      <c r="AA7" s="14">
        <f t="shared" si="11"/>
        <v>67912.213765142995</v>
      </c>
      <c r="AB7" s="14">
        <f t="shared" si="11"/>
        <v>67912.213765142995</v>
      </c>
      <c r="AC7" s="14">
        <f t="shared" si="11"/>
        <v>68683.074519236048</v>
      </c>
      <c r="AD7" s="14">
        <f t="shared" si="11"/>
        <v>68683.074519236048</v>
      </c>
      <c r="AE7" s="14">
        <f t="shared" si="11"/>
        <v>68683.074519236048</v>
      </c>
      <c r="AF7" s="14">
        <f t="shared" si="11"/>
        <v>67882.596062233919</v>
      </c>
      <c r="AG7" s="14">
        <f t="shared" si="11"/>
        <v>67882.596062233919</v>
      </c>
      <c r="AH7" s="14">
        <f t="shared" si="11"/>
        <v>67882.596062233919</v>
      </c>
      <c r="AI7" s="14">
        <f t="shared" si="11"/>
        <v>67882.596062233919</v>
      </c>
      <c r="AJ7" s="14">
        <f t="shared" si="11"/>
        <v>67882.596062233919</v>
      </c>
      <c r="AK7" s="14">
        <f t="shared" si="11"/>
        <v>67882.596062233919</v>
      </c>
      <c r="AL7" s="14">
        <f t="shared" si="11"/>
        <v>67882.596062233919</v>
      </c>
      <c r="AM7" s="14">
        <f t="shared" si="11"/>
        <v>70692.656759194011</v>
      </c>
      <c r="AN7" s="14">
        <f t="shared" si="11"/>
        <v>70692.656759194011</v>
      </c>
      <c r="AO7" s="14">
        <f t="shared" si="11"/>
        <v>70692.656759194011</v>
      </c>
      <c r="AP7" s="15">
        <f t="shared" si="2"/>
        <v>284908.05797990673</v>
      </c>
      <c r="AQ7" s="15">
        <f t="shared" si="3"/>
        <v>786877.88489863789</v>
      </c>
      <c r="AR7" s="15">
        <f t="shared" si="4"/>
        <v>824622.29175169137</v>
      </c>
      <c r="AS7" s="16">
        <f t="shared" si="5"/>
        <v>1896408.2346302359</v>
      </c>
      <c r="AT7" s="15">
        <f t="shared" si="6"/>
        <v>23742.338164992227</v>
      </c>
      <c r="AU7" s="15">
        <f t="shared" si="6"/>
        <v>65573.157074886491</v>
      </c>
      <c r="AV7" s="15">
        <f t="shared" si="6"/>
        <v>68718.524312640948</v>
      </c>
      <c r="AW7" s="16">
        <f t="shared" si="7"/>
        <v>158034.01955251966</v>
      </c>
    </row>
    <row r="8" spans="1:49" ht="13.5" customHeight="1" x14ac:dyDescent="0.3">
      <c r="A8" s="17"/>
      <c r="B8" s="10"/>
      <c r="C8" s="18" t="s">
        <v>14</v>
      </c>
      <c r="D8" s="19"/>
      <c r="E8" s="24">
        <v>0.18</v>
      </c>
      <c r="F8" s="20">
        <f t="shared" ref="F8:AO8" si="12">F3*$E$8</f>
        <v>8730</v>
      </c>
      <c r="G8" s="20">
        <f t="shared" si="12"/>
        <v>11646</v>
      </c>
      <c r="H8" s="20">
        <f t="shared" si="12"/>
        <v>13047.3</v>
      </c>
      <c r="I8" s="20">
        <f t="shared" si="12"/>
        <v>14892.173999999999</v>
      </c>
      <c r="J8" s="20">
        <f t="shared" si="12"/>
        <v>15151.369139999999</v>
      </c>
      <c r="K8" s="20">
        <f t="shared" si="12"/>
        <v>15428.739821399999</v>
      </c>
      <c r="L8" s="20">
        <f t="shared" si="12"/>
        <v>15726.026158614002</v>
      </c>
      <c r="M8" s="20">
        <f t="shared" si="12"/>
        <v>20601.391503100142</v>
      </c>
      <c r="N8" s="20">
        <f t="shared" si="12"/>
        <v>21855.689759321143</v>
      </c>
      <c r="O8" s="20">
        <f t="shared" si="12"/>
        <v>23227.359432223358</v>
      </c>
      <c r="P8" s="20">
        <f t="shared" si="12"/>
        <v>36856.794579385496</v>
      </c>
      <c r="Q8" s="20">
        <f t="shared" si="12"/>
        <v>39712.215358303249</v>
      </c>
      <c r="R8" s="20">
        <f t="shared" si="12"/>
        <v>44842.700525071232</v>
      </c>
      <c r="S8" s="20">
        <f t="shared" si="12"/>
        <v>48353.307774497807</v>
      </c>
      <c r="T8" s="20">
        <f t="shared" si="12"/>
        <v>52214.975748867015</v>
      </c>
      <c r="U8" s="20">
        <f t="shared" si="12"/>
        <v>56462.810520673163</v>
      </c>
      <c r="V8" s="20">
        <f t="shared" si="12"/>
        <v>56462.810520673163</v>
      </c>
      <c r="W8" s="20">
        <f t="shared" si="12"/>
        <v>56462.810520673163</v>
      </c>
      <c r="X8" s="20">
        <f t="shared" si="12"/>
        <v>56462.810520673163</v>
      </c>
      <c r="Y8" s="20">
        <f t="shared" si="12"/>
        <v>56462.810520673163</v>
      </c>
      <c r="Z8" s="20">
        <f t="shared" si="12"/>
        <v>56462.810520673163</v>
      </c>
      <c r="AA8" s="20">
        <f t="shared" si="12"/>
        <v>56462.810520673163</v>
      </c>
      <c r="AB8" s="20">
        <f t="shared" si="12"/>
        <v>56462.810520673163</v>
      </c>
      <c r="AC8" s="20">
        <f t="shared" si="12"/>
        <v>57103.710916685857</v>
      </c>
      <c r="AD8" s="20">
        <f t="shared" si="12"/>
        <v>57103.710916685857</v>
      </c>
      <c r="AE8" s="20">
        <f t="shared" si="12"/>
        <v>57103.710916685857</v>
      </c>
      <c r="AF8" s="20">
        <f t="shared" si="12"/>
        <v>56438.186102550142</v>
      </c>
      <c r="AG8" s="20">
        <f t="shared" si="12"/>
        <v>56438.186102550142</v>
      </c>
      <c r="AH8" s="20">
        <f t="shared" si="12"/>
        <v>56438.186102550142</v>
      </c>
      <c r="AI8" s="20">
        <f t="shared" si="12"/>
        <v>56438.186102550142</v>
      </c>
      <c r="AJ8" s="20">
        <f t="shared" si="12"/>
        <v>56438.186102550142</v>
      </c>
      <c r="AK8" s="20">
        <f t="shared" si="12"/>
        <v>56438.186102550142</v>
      </c>
      <c r="AL8" s="20">
        <f t="shared" si="12"/>
        <v>56438.186102550142</v>
      </c>
      <c r="AM8" s="20">
        <f t="shared" si="12"/>
        <v>58774.495227043517</v>
      </c>
      <c r="AN8" s="20">
        <f t="shared" si="12"/>
        <v>58774.495227043517</v>
      </c>
      <c r="AO8" s="20">
        <f t="shared" si="12"/>
        <v>58774.495227043517</v>
      </c>
      <c r="AP8" s="21">
        <f t="shared" si="2"/>
        <v>236875.05975234738</v>
      </c>
      <c r="AQ8" s="21">
        <f t="shared" si="3"/>
        <v>654217.17913050728</v>
      </c>
      <c r="AR8" s="21">
        <f t="shared" si="4"/>
        <v>685598.21023235319</v>
      </c>
      <c r="AS8" s="22">
        <f t="shared" si="5"/>
        <v>1576690.4491152079</v>
      </c>
      <c r="AT8" s="21">
        <f t="shared" si="6"/>
        <v>19739.588312695614</v>
      </c>
      <c r="AU8" s="21">
        <f t="shared" si="6"/>
        <v>54518.098260875609</v>
      </c>
      <c r="AV8" s="21">
        <f t="shared" si="6"/>
        <v>57133.18418602943</v>
      </c>
      <c r="AW8" s="22">
        <f t="shared" si="7"/>
        <v>131390.87075960066</v>
      </c>
    </row>
    <row r="9" spans="1:49" ht="13.5" customHeight="1" x14ac:dyDescent="0.3">
      <c r="A9" s="17"/>
      <c r="B9" s="10"/>
      <c r="C9" s="18" t="s">
        <v>15</v>
      </c>
      <c r="D9" s="19"/>
      <c r="E9" s="25">
        <f>0.65%+3%</f>
        <v>3.6499999999999998E-2</v>
      </c>
      <c r="F9" s="20">
        <f t="shared" ref="F9:AO9" si="13">F3*$E$9</f>
        <v>1770.25</v>
      </c>
      <c r="G9" s="20">
        <f t="shared" si="13"/>
        <v>2361.5499999999997</v>
      </c>
      <c r="H9" s="20">
        <f t="shared" si="13"/>
        <v>2645.7024999999999</v>
      </c>
      <c r="I9" s="20">
        <f t="shared" si="13"/>
        <v>3019.80195</v>
      </c>
      <c r="J9" s="20">
        <f t="shared" si="13"/>
        <v>3072.3609644999997</v>
      </c>
      <c r="K9" s="20">
        <f t="shared" si="13"/>
        <v>3128.6055748949998</v>
      </c>
      <c r="L9" s="20">
        <f t="shared" si="13"/>
        <v>3188.8886377189506</v>
      </c>
      <c r="M9" s="20">
        <f t="shared" si="13"/>
        <v>4177.5043881286392</v>
      </c>
      <c r="N9" s="20">
        <f t="shared" si="13"/>
        <v>4431.8482011956767</v>
      </c>
      <c r="O9" s="20">
        <f t="shared" si="13"/>
        <v>4709.9923293119582</v>
      </c>
      <c r="P9" s="20">
        <f t="shared" si="13"/>
        <v>7473.7389008198361</v>
      </c>
      <c r="Q9" s="20">
        <f t="shared" si="13"/>
        <v>8052.7547809892694</v>
      </c>
      <c r="R9" s="20">
        <f t="shared" si="13"/>
        <v>9093.1031620283338</v>
      </c>
      <c r="S9" s="20">
        <f t="shared" si="13"/>
        <v>9804.9762987176109</v>
      </c>
      <c r="T9" s="20">
        <f t="shared" si="13"/>
        <v>10588.036749075811</v>
      </c>
      <c r="U9" s="20">
        <f t="shared" si="13"/>
        <v>11449.403244469835</v>
      </c>
      <c r="V9" s="20">
        <f t="shared" si="13"/>
        <v>11449.403244469835</v>
      </c>
      <c r="W9" s="20">
        <f t="shared" si="13"/>
        <v>11449.403244469835</v>
      </c>
      <c r="X9" s="20">
        <f t="shared" si="13"/>
        <v>11449.403244469835</v>
      </c>
      <c r="Y9" s="20">
        <f t="shared" si="13"/>
        <v>11449.403244469835</v>
      </c>
      <c r="Z9" s="20">
        <f t="shared" si="13"/>
        <v>11449.403244469835</v>
      </c>
      <c r="AA9" s="20">
        <f t="shared" si="13"/>
        <v>11449.403244469835</v>
      </c>
      <c r="AB9" s="20">
        <f t="shared" si="13"/>
        <v>11449.403244469835</v>
      </c>
      <c r="AC9" s="20">
        <f t="shared" si="13"/>
        <v>11579.363602550187</v>
      </c>
      <c r="AD9" s="20">
        <f t="shared" si="13"/>
        <v>11579.363602550187</v>
      </c>
      <c r="AE9" s="20">
        <f t="shared" si="13"/>
        <v>11579.363602550187</v>
      </c>
      <c r="AF9" s="20">
        <f t="shared" si="13"/>
        <v>11444.409959683779</v>
      </c>
      <c r="AG9" s="20">
        <f t="shared" si="13"/>
        <v>11444.409959683779</v>
      </c>
      <c r="AH9" s="20">
        <f t="shared" si="13"/>
        <v>11444.409959683779</v>
      </c>
      <c r="AI9" s="20">
        <f t="shared" si="13"/>
        <v>11444.409959683779</v>
      </c>
      <c r="AJ9" s="20">
        <f t="shared" si="13"/>
        <v>11444.409959683779</v>
      </c>
      <c r="AK9" s="20">
        <f t="shared" si="13"/>
        <v>11444.409959683779</v>
      </c>
      <c r="AL9" s="20">
        <f t="shared" si="13"/>
        <v>11444.409959683779</v>
      </c>
      <c r="AM9" s="20">
        <f t="shared" si="13"/>
        <v>11918.161532150491</v>
      </c>
      <c r="AN9" s="20">
        <f t="shared" si="13"/>
        <v>11918.161532150491</v>
      </c>
      <c r="AO9" s="20">
        <f t="shared" si="13"/>
        <v>11918.161532150491</v>
      </c>
      <c r="AP9" s="21">
        <f t="shared" si="2"/>
        <v>48032.998227559328</v>
      </c>
      <c r="AQ9" s="21">
        <f t="shared" si="3"/>
        <v>132660.70576813063</v>
      </c>
      <c r="AR9" s="21">
        <f t="shared" si="4"/>
        <v>139024.0815193383</v>
      </c>
      <c r="AS9" s="22">
        <f t="shared" si="5"/>
        <v>319717.78551502828</v>
      </c>
      <c r="AT9" s="21">
        <f t="shared" si="6"/>
        <v>4002.7498522966107</v>
      </c>
      <c r="AU9" s="21">
        <f t="shared" si="6"/>
        <v>11055.058814010887</v>
      </c>
      <c r="AV9" s="21">
        <f t="shared" si="6"/>
        <v>11585.340126611525</v>
      </c>
      <c r="AW9" s="22">
        <f t="shared" si="7"/>
        <v>26643.148792919023</v>
      </c>
    </row>
    <row r="10" spans="1:49" ht="13.5" customHeight="1" x14ac:dyDescent="0.3">
      <c r="A10" s="9"/>
      <c r="B10" s="10" t="s">
        <v>16</v>
      </c>
      <c r="C10" s="11"/>
      <c r="D10" s="12"/>
      <c r="E10" s="23"/>
      <c r="F10" s="14">
        <f t="shared" ref="F10:AO10" si="14">F3-F7</f>
        <v>37999.75</v>
      </c>
      <c r="G10" s="14">
        <f t="shared" si="14"/>
        <v>50692.45</v>
      </c>
      <c r="H10" s="14">
        <f t="shared" si="14"/>
        <v>56791.997499999998</v>
      </c>
      <c r="I10" s="14">
        <f t="shared" si="14"/>
        <v>64822.324050000003</v>
      </c>
      <c r="J10" s="14">
        <f t="shared" si="14"/>
        <v>65950.542895499995</v>
      </c>
      <c r="K10" s="14">
        <f t="shared" si="14"/>
        <v>67157.875833704995</v>
      </c>
      <c r="L10" s="14">
        <f t="shared" si="14"/>
        <v>68451.89719596706</v>
      </c>
      <c r="M10" s="14">
        <f t="shared" si="14"/>
        <v>89673.279125994231</v>
      </c>
      <c r="N10" s="14">
        <f t="shared" si="14"/>
        <v>95132.960702378419</v>
      </c>
      <c r="O10" s="14">
        <f t="shared" si="14"/>
        <v>101103.5339730389</v>
      </c>
      <c r="P10" s="14">
        <f t="shared" si="14"/>
        <v>160429.43640526963</v>
      </c>
      <c r="Q10" s="14">
        <f t="shared" si="14"/>
        <v>172858.44851794775</v>
      </c>
      <c r="R10" s="14">
        <f t="shared" si="14"/>
        <v>195190.31034107396</v>
      </c>
      <c r="S10" s="14">
        <f t="shared" si="14"/>
        <v>210471.20356288351</v>
      </c>
      <c r="T10" s="14">
        <f t="shared" si="14"/>
        <v>227280.18610687391</v>
      </c>
      <c r="U10" s="14">
        <f t="shared" si="14"/>
        <v>245770.06690526346</v>
      </c>
      <c r="V10" s="14">
        <f t="shared" si="14"/>
        <v>245770.06690526346</v>
      </c>
      <c r="W10" s="14">
        <f t="shared" si="14"/>
        <v>245770.06690526346</v>
      </c>
      <c r="X10" s="14">
        <f t="shared" si="14"/>
        <v>245770.06690526346</v>
      </c>
      <c r="Y10" s="14">
        <f t="shared" si="14"/>
        <v>245770.06690526346</v>
      </c>
      <c r="Z10" s="14">
        <f t="shared" si="14"/>
        <v>245770.06690526346</v>
      </c>
      <c r="AA10" s="14">
        <f t="shared" si="14"/>
        <v>245770.06690526346</v>
      </c>
      <c r="AB10" s="14">
        <f t="shared" si="14"/>
        <v>245770.06690526346</v>
      </c>
      <c r="AC10" s="14">
        <f t="shared" si="14"/>
        <v>248559.76390679652</v>
      </c>
      <c r="AD10" s="14">
        <f t="shared" si="14"/>
        <v>248559.76390679652</v>
      </c>
      <c r="AE10" s="14">
        <f t="shared" si="14"/>
        <v>248559.76390679652</v>
      </c>
      <c r="AF10" s="14">
        <f t="shared" si="14"/>
        <v>245662.88228526688</v>
      </c>
      <c r="AG10" s="14">
        <f t="shared" si="14"/>
        <v>245662.88228526688</v>
      </c>
      <c r="AH10" s="14">
        <f t="shared" si="14"/>
        <v>245662.88228526688</v>
      </c>
      <c r="AI10" s="14">
        <f t="shared" si="14"/>
        <v>245662.88228526688</v>
      </c>
      <c r="AJ10" s="14">
        <f t="shared" si="14"/>
        <v>245662.88228526688</v>
      </c>
      <c r="AK10" s="14">
        <f t="shared" si="14"/>
        <v>245662.88228526688</v>
      </c>
      <c r="AL10" s="14">
        <f t="shared" si="14"/>
        <v>245662.88228526688</v>
      </c>
      <c r="AM10" s="14">
        <f t="shared" si="14"/>
        <v>255832.31672438109</v>
      </c>
      <c r="AN10" s="14">
        <f t="shared" si="14"/>
        <v>255832.31672438109</v>
      </c>
      <c r="AO10" s="14">
        <f t="shared" si="14"/>
        <v>255832.31672438109</v>
      </c>
      <c r="AP10" s="15">
        <f t="shared" si="2"/>
        <v>1031064.4961998011</v>
      </c>
      <c r="AQ10" s="15">
        <f t="shared" si="3"/>
        <v>2847661.9991597347</v>
      </c>
      <c r="AR10" s="15">
        <f t="shared" si="4"/>
        <v>2984256.6539836042</v>
      </c>
      <c r="AS10" s="16">
        <f t="shared" si="5"/>
        <v>6862983.1493431404</v>
      </c>
      <c r="AT10" s="15">
        <f t="shared" si="6"/>
        <v>85922.041349983425</v>
      </c>
      <c r="AU10" s="15">
        <f t="shared" si="6"/>
        <v>237305.16659664456</v>
      </c>
      <c r="AV10" s="15">
        <f t="shared" si="6"/>
        <v>248688.05449863369</v>
      </c>
      <c r="AW10" s="16">
        <f t="shared" si="7"/>
        <v>571915.2624452617</v>
      </c>
    </row>
    <row r="11" spans="1:49" ht="13.5" customHeight="1" x14ac:dyDescent="0.3">
      <c r="A11" s="9"/>
      <c r="B11" s="26" t="s">
        <v>17</v>
      </c>
      <c r="C11" s="9"/>
      <c r="D11" s="27"/>
      <c r="E11" s="28"/>
      <c r="F11" s="14">
        <f t="shared" ref="F11:AO11" si="15">F12</f>
        <v>24250</v>
      </c>
      <c r="G11" s="14">
        <f t="shared" si="15"/>
        <v>32350</v>
      </c>
      <c r="H11" s="14">
        <f t="shared" si="15"/>
        <v>36242.5</v>
      </c>
      <c r="I11" s="14">
        <f t="shared" si="15"/>
        <v>41367.15</v>
      </c>
      <c r="J11" s="14">
        <f t="shared" si="15"/>
        <v>42087.136500000001</v>
      </c>
      <c r="K11" s="14">
        <f t="shared" si="15"/>
        <v>42857.610614999998</v>
      </c>
      <c r="L11" s="14">
        <f t="shared" si="15"/>
        <v>43683.40599615001</v>
      </c>
      <c r="M11" s="14">
        <f t="shared" si="15"/>
        <v>57226.087508611505</v>
      </c>
      <c r="N11" s="14">
        <f t="shared" si="15"/>
        <v>60710.249331447623</v>
      </c>
      <c r="O11" s="14">
        <f t="shared" si="15"/>
        <v>64520.442867287107</v>
      </c>
      <c r="P11" s="14">
        <f t="shared" si="15"/>
        <v>102379.98494273749</v>
      </c>
      <c r="Q11" s="14">
        <f t="shared" si="15"/>
        <v>110311.70932862014</v>
      </c>
      <c r="R11" s="14">
        <f t="shared" si="15"/>
        <v>124563.05701408676</v>
      </c>
      <c r="S11" s="14">
        <f t="shared" si="15"/>
        <v>134314.74381804946</v>
      </c>
      <c r="T11" s="14">
        <f t="shared" si="15"/>
        <v>145041.59930240837</v>
      </c>
      <c r="U11" s="14">
        <f t="shared" si="15"/>
        <v>156841.14033520324</v>
      </c>
      <c r="V11" s="14">
        <f t="shared" si="15"/>
        <v>156841.14033520324</v>
      </c>
      <c r="W11" s="14">
        <f t="shared" si="15"/>
        <v>156841.14033520324</v>
      </c>
      <c r="X11" s="14">
        <f t="shared" si="15"/>
        <v>156841.14033520324</v>
      </c>
      <c r="Y11" s="14">
        <f t="shared" si="15"/>
        <v>156841.14033520324</v>
      </c>
      <c r="Z11" s="14">
        <f t="shared" si="15"/>
        <v>156841.14033520324</v>
      </c>
      <c r="AA11" s="14">
        <f t="shared" si="15"/>
        <v>156841.14033520324</v>
      </c>
      <c r="AB11" s="14">
        <f t="shared" si="15"/>
        <v>156841.14033520324</v>
      </c>
      <c r="AC11" s="14">
        <f t="shared" si="15"/>
        <v>158621.41921301628</v>
      </c>
      <c r="AD11" s="14">
        <f t="shared" si="15"/>
        <v>158621.41921301628</v>
      </c>
      <c r="AE11" s="14">
        <f t="shared" si="15"/>
        <v>158621.41921301628</v>
      </c>
      <c r="AF11" s="14">
        <f t="shared" si="15"/>
        <v>156772.73917375039</v>
      </c>
      <c r="AG11" s="14">
        <f t="shared" si="15"/>
        <v>156772.73917375039</v>
      </c>
      <c r="AH11" s="14">
        <f t="shared" si="15"/>
        <v>156772.73917375039</v>
      </c>
      <c r="AI11" s="14">
        <f t="shared" si="15"/>
        <v>156772.73917375039</v>
      </c>
      <c r="AJ11" s="14">
        <f t="shared" si="15"/>
        <v>156772.73917375039</v>
      </c>
      <c r="AK11" s="14">
        <f t="shared" si="15"/>
        <v>156772.73917375039</v>
      </c>
      <c r="AL11" s="14">
        <f t="shared" si="15"/>
        <v>156772.73917375039</v>
      </c>
      <c r="AM11" s="14">
        <f t="shared" si="15"/>
        <v>163262.48674178755</v>
      </c>
      <c r="AN11" s="14">
        <f t="shared" si="15"/>
        <v>163262.48674178755</v>
      </c>
      <c r="AO11" s="14">
        <f t="shared" si="15"/>
        <v>163262.48674178755</v>
      </c>
      <c r="AP11" s="15">
        <f t="shared" si="2"/>
        <v>657986.27708985377</v>
      </c>
      <c r="AQ11" s="15">
        <f t="shared" si="3"/>
        <v>1817269.9420291865</v>
      </c>
      <c r="AR11" s="15">
        <f t="shared" si="4"/>
        <v>1904439.4728676479</v>
      </c>
      <c r="AS11" s="16">
        <f t="shared" si="5"/>
        <v>4379695.6919866884</v>
      </c>
      <c r="AT11" s="15">
        <f t="shared" si="6"/>
        <v>54832.189757487817</v>
      </c>
      <c r="AU11" s="15">
        <f t="shared" si="6"/>
        <v>151439.16183576555</v>
      </c>
      <c r="AV11" s="15">
        <f t="shared" si="6"/>
        <v>158703.28940563733</v>
      </c>
      <c r="AW11" s="16">
        <f t="shared" si="7"/>
        <v>364974.64099889074</v>
      </c>
    </row>
    <row r="12" spans="1:49" ht="13.5" customHeight="1" x14ac:dyDescent="0.3">
      <c r="A12" s="29"/>
      <c r="B12" s="10"/>
      <c r="C12" s="18" t="s">
        <v>53</v>
      </c>
      <c r="D12" s="19"/>
      <c r="E12" s="30">
        <v>0.5</v>
      </c>
      <c r="F12" s="20">
        <f t="shared" ref="F12:AO12" si="16">F3*$E$12</f>
        <v>24250</v>
      </c>
      <c r="G12" s="20">
        <f t="shared" si="16"/>
        <v>32350</v>
      </c>
      <c r="H12" s="20">
        <f t="shared" si="16"/>
        <v>36242.5</v>
      </c>
      <c r="I12" s="20">
        <f t="shared" si="16"/>
        <v>41367.15</v>
      </c>
      <c r="J12" s="20">
        <f t="shared" si="16"/>
        <v>42087.136500000001</v>
      </c>
      <c r="K12" s="20">
        <f t="shared" si="16"/>
        <v>42857.610614999998</v>
      </c>
      <c r="L12" s="20">
        <f t="shared" si="16"/>
        <v>43683.40599615001</v>
      </c>
      <c r="M12" s="20">
        <f t="shared" si="16"/>
        <v>57226.087508611505</v>
      </c>
      <c r="N12" s="20">
        <f t="shared" si="16"/>
        <v>60710.249331447623</v>
      </c>
      <c r="O12" s="20">
        <f t="shared" si="16"/>
        <v>64520.442867287107</v>
      </c>
      <c r="P12" s="20">
        <f t="shared" si="16"/>
        <v>102379.98494273749</v>
      </c>
      <c r="Q12" s="20">
        <f t="shared" si="16"/>
        <v>110311.70932862014</v>
      </c>
      <c r="R12" s="20">
        <f t="shared" si="16"/>
        <v>124563.05701408676</v>
      </c>
      <c r="S12" s="20">
        <f t="shared" si="16"/>
        <v>134314.74381804946</v>
      </c>
      <c r="T12" s="20">
        <f t="shared" si="16"/>
        <v>145041.59930240837</v>
      </c>
      <c r="U12" s="20">
        <f t="shared" si="16"/>
        <v>156841.14033520324</v>
      </c>
      <c r="V12" s="20">
        <f t="shared" si="16"/>
        <v>156841.14033520324</v>
      </c>
      <c r="W12" s="20">
        <f t="shared" si="16"/>
        <v>156841.14033520324</v>
      </c>
      <c r="X12" s="20">
        <f t="shared" si="16"/>
        <v>156841.14033520324</v>
      </c>
      <c r="Y12" s="20">
        <f t="shared" si="16"/>
        <v>156841.14033520324</v>
      </c>
      <c r="Z12" s="20">
        <f t="shared" si="16"/>
        <v>156841.14033520324</v>
      </c>
      <c r="AA12" s="20">
        <f t="shared" si="16"/>
        <v>156841.14033520324</v>
      </c>
      <c r="AB12" s="20">
        <f t="shared" si="16"/>
        <v>156841.14033520324</v>
      </c>
      <c r="AC12" s="20">
        <f t="shared" si="16"/>
        <v>158621.41921301628</v>
      </c>
      <c r="AD12" s="20">
        <f t="shared" si="16"/>
        <v>158621.41921301628</v>
      </c>
      <c r="AE12" s="20">
        <f t="shared" si="16"/>
        <v>158621.41921301628</v>
      </c>
      <c r="AF12" s="20">
        <f t="shared" si="16"/>
        <v>156772.73917375039</v>
      </c>
      <c r="AG12" s="20">
        <f t="shared" si="16"/>
        <v>156772.73917375039</v>
      </c>
      <c r="AH12" s="20">
        <f t="shared" si="16"/>
        <v>156772.73917375039</v>
      </c>
      <c r="AI12" s="20">
        <f t="shared" si="16"/>
        <v>156772.73917375039</v>
      </c>
      <c r="AJ12" s="20">
        <f t="shared" si="16"/>
        <v>156772.73917375039</v>
      </c>
      <c r="AK12" s="20">
        <f t="shared" si="16"/>
        <v>156772.73917375039</v>
      </c>
      <c r="AL12" s="20">
        <f t="shared" si="16"/>
        <v>156772.73917375039</v>
      </c>
      <c r="AM12" s="20">
        <f t="shared" si="16"/>
        <v>163262.48674178755</v>
      </c>
      <c r="AN12" s="20">
        <f t="shared" si="16"/>
        <v>163262.48674178755</v>
      </c>
      <c r="AO12" s="20">
        <f t="shared" si="16"/>
        <v>163262.48674178755</v>
      </c>
      <c r="AP12" s="21">
        <f t="shared" si="2"/>
        <v>657986.27708985377</v>
      </c>
      <c r="AQ12" s="21">
        <f t="shared" si="3"/>
        <v>1817269.9420291865</v>
      </c>
      <c r="AR12" s="21">
        <f t="shared" si="4"/>
        <v>1904439.4728676479</v>
      </c>
      <c r="AS12" s="22">
        <f t="shared" si="5"/>
        <v>4379695.6919866884</v>
      </c>
      <c r="AT12" s="21">
        <f t="shared" si="6"/>
        <v>54832.189757487817</v>
      </c>
      <c r="AU12" s="21">
        <f t="shared" si="6"/>
        <v>151439.16183576555</v>
      </c>
      <c r="AV12" s="21">
        <f t="shared" si="6"/>
        <v>158703.28940563733</v>
      </c>
      <c r="AW12" s="22">
        <f t="shared" si="7"/>
        <v>364974.64099889074</v>
      </c>
    </row>
    <row r="13" spans="1:49" ht="13.5" customHeight="1" x14ac:dyDescent="0.3">
      <c r="A13" s="9"/>
      <c r="B13" s="26" t="s">
        <v>18</v>
      </c>
      <c r="C13" s="9"/>
      <c r="D13" s="27"/>
      <c r="E13" s="28"/>
      <c r="F13" s="14">
        <f t="shared" ref="F13:AO13" si="17">F10-F11</f>
        <v>13749.75</v>
      </c>
      <c r="G13" s="14">
        <f t="shared" si="17"/>
        <v>18342.449999999997</v>
      </c>
      <c r="H13" s="14">
        <f t="shared" si="17"/>
        <v>20549.497499999998</v>
      </c>
      <c r="I13" s="14">
        <f t="shared" si="17"/>
        <v>23455.174050000001</v>
      </c>
      <c r="J13" s="14">
        <f t="shared" si="17"/>
        <v>23863.406395499995</v>
      </c>
      <c r="K13" s="14">
        <f t="shared" si="17"/>
        <v>24300.265218704997</v>
      </c>
      <c r="L13" s="14">
        <f t="shared" si="17"/>
        <v>24768.49119981705</v>
      </c>
      <c r="M13" s="14">
        <f t="shared" si="17"/>
        <v>32447.191617382727</v>
      </c>
      <c r="N13" s="14">
        <f t="shared" si="17"/>
        <v>34422.711370930796</v>
      </c>
      <c r="O13" s="14">
        <f t="shared" si="17"/>
        <v>36583.091105751788</v>
      </c>
      <c r="P13" s="14">
        <f t="shared" si="17"/>
        <v>58049.451462532146</v>
      </c>
      <c r="Q13" s="14">
        <f t="shared" si="17"/>
        <v>62546.739189327607</v>
      </c>
      <c r="R13" s="14">
        <f t="shared" si="17"/>
        <v>70627.253326987193</v>
      </c>
      <c r="S13" s="14">
        <f t="shared" si="17"/>
        <v>76156.45974483405</v>
      </c>
      <c r="T13" s="14">
        <f t="shared" si="17"/>
        <v>82238.586804465536</v>
      </c>
      <c r="U13" s="14">
        <f t="shared" si="17"/>
        <v>88928.926570060226</v>
      </c>
      <c r="V13" s="14">
        <f t="shared" si="17"/>
        <v>88928.926570060226</v>
      </c>
      <c r="W13" s="14">
        <f t="shared" si="17"/>
        <v>88928.926570060226</v>
      </c>
      <c r="X13" s="14">
        <f t="shared" si="17"/>
        <v>88928.926570060226</v>
      </c>
      <c r="Y13" s="14">
        <f t="shared" si="17"/>
        <v>88928.926570060226</v>
      </c>
      <c r="Z13" s="14">
        <f t="shared" si="17"/>
        <v>88928.926570060226</v>
      </c>
      <c r="AA13" s="14">
        <f t="shared" si="17"/>
        <v>88928.926570060226</v>
      </c>
      <c r="AB13" s="14">
        <f t="shared" si="17"/>
        <v>88928.926570060226</v>
      </c>
      <c r="AC13" s="14">
        <f t="shared" si="17"/>
        <v>89938.344693780236</v>
      </c>
      <c r="AD13" s="14">
        <f t="shared" si="17"/>
        <v>89938.344693780236</v>
      </c>
      <c r="AE13" s="14">
        <f t="shared" si="17"/>
        <v>89938.344693780236</v>
      </c>
      <c r="AF13" s="14">
        <f t="shared" si="17"/>
        <v>88890.143111516489</v>
      </c>
      <c r="AG13" s="14">
        <f t="shared" si="17"/>
        <v>88890.143111516489</v>
      </c>
      <c r="AH13" s="14">
        <f t="shared" si="17"/>
        <v>88890.143111516489</v>
      </c>
      <c r="AI13" s="14">
        <f t="shared" si="17"/>
        <v>88890.143111516489</v>
      </c>
      <c r="AJ13" s="14">
        <f t="shared" si="17"/>
        <v>88890.143111516489</v>
      </c>
      <c r="AK13" s="14">
        <f t="shared" si="17"/>
        <v>88890.143111516489</v>
      </c>
      <c r="AL13" s="14">
        <f t="shared" si="17"/>
        <v>88890.143111516489</v>
      </c>
      <c r="AM13" s="14">
        <f t="shared" si="17"/>
        <v>92569.829982593539</v>
      </c>
      <c r="AN13" s="14">
        <f t="shared" si="17"/>
        <v>92569.829982593539</v>
      </c>
      <c r="AO13" s="14">
        <f t="shared" si="17"/>
        <v>92569.829982593539</v>
      </c>
      <c r="AP13" s="15">
        <f t="shared" si="2"/>
        <v>373078.21910994709</v>
      </c>
      <c r="AQ13" s="15">
        <f t="shared" si="3"/>
        <v>1030392.0571305486</v>
      </c>
      <c r="AR13" s="15">
        <f t="shared" si="4"/>
        <v>1079817.1811159565</v>
      </c>
      <c r="AS13" s="16">
        <f t="shared" si="5"/>
        <v>2483287.457356452</v>
      </c>
      <c r="AT13" s="15">
        <f t="shared" si="6"/>
        <v>31089.85159249559</v>
      </c>
      <c r="AU13" s="15">
        <f t="shared" si="6"/>
        <v>85866.004760879048</v>
      </c>
      <c r="AV13" s="15">
        <f t="shared" si="6"/>
        <v>89984.765092996371</v>
      </c>
      <c r="AW13" s="16">
        <f t="shared" si="7"/>
        <v>206940.62144637102</v>
      </c>
    </row>
    <row r="14" spans="1:49" ht="13.5" customHeight="1" x14ac:dyDescent="0.3">
      <c r="A14" s="9"/>
      <c r="B14" s="10" t="s">
        <v>19</v>
      </c>
      <c r="C14" s="11"/>
      <c r="D14" s="12"/>
      <c r="E14" s="23"/>
      <c r="F14" s="14">
        <f t="shared" ref="F14:AO14" si="18">SUM(F15,F18,F22,F23,F16,F24,F17,F25)</f>
        <v>23100</v>
      </c>
      <c r="G14" s="14">
        <f t="shared" si="18"/>
        <v>24924</v>
      </c>
      <c r="H14" s="14">
        <f t="shared" si="18"/>
        <v>25797.9</v>
      </c>
      <c r="I14" s="14">
        <f t="shared" si="18"/>
        <v>26927.77</v>
      </c>
      <c r="J14" s="14">
        <f t="shared" si="18"/>
        <v>27187.201300000001</v>
      </c>
      <c r="K14" s="14">
        <f t="shared" si="18"/>
        <v>27468.273523</v>
      </c>
      <c r="L14" s="14">
        <f t="shared" si="18"/>
        <v>27773.107739230003</v>
      </c>
      <c r="M14" s="14">
        <f t="shared" si="18"/>
        <v>30635.286695722305</v>
      </c>
      <c r="N14" s="14">
        <f t="shared" si="18"/>
        <v>31501.125979689525</v>
      </c>
      <c r="O14" s="14">
        <f t="shared" si="18"/>
        <v>32449.072298197425</v>
      </c>
      <c r="P14" s="14">
        <f t="shared" si="18"/>
        <v>40796.87863404362</v>
      </c>
      <c r="Q14" s="14">
        <f t="shared" si="18"/>
        <v>42846.123452518033</v>
      </c>
      <c r="R14" s="14">
        <f t="shared" si="18"/>
        <v>47622.470117750345</v>
      </c>
      <c r="S14" s="14">
        <f t="shared" si="18"/>
        <v>50151.154783112805</v>
      </c>
      <c r="T14" s="14">
        <f t="shared" si="18"/>
        <v>52932.707915011502</v>
      </c>
      <c r="U14" s="14">
        <f t="shared" si="18"/>
        <v>55992.416360100076</v>
      </c>
      <c r="V14" s="14">
        <f t="shared" si="18"/>
        <v>55992.416360100076</v>
      </c>
      <c r="W14" s="14">
        <f t="shared" si="18"/>
        <v>55992.416360100076</v>
      </c>
      <c r="X14" s="14">
        <f t="shared" si="18"/>
        <v>55992.416360100076</v>
      </c>
      <c r="Y14" s="14">
        <f t="shared" si="18"/>
        <v>55992.416360100076</v>
      </c>
      <c r="Z14" s="14">
        <f t="shared" si="18"/>
        <v>55992.416360100076</v>
      </c>
      <c r="AA14" s="14">
        <f t="shared" si="18"/>
        <v>55992.416360100076</v>
      </c>
      <c r="AB14" s="14">
        <f t="shared" si="18"/>
        <v>55992.416360100076</v>
      </c>
      <c r="AC14" s="14">
        <f t="shared" si="18"/>
        <v>56883.380501997075</v>
      </c>
      <c r="AD14" s="14">
        <f t="shared" si="18"/>
        <v>57763.380501997075</v>
      </c>
      <c r="AE14" s="14">
        <f t="shared" si="18"/>
        <v>57763.380501997075</v>
      </c>
      <c r="AF14" s="14">
        <f t="shared" si="18"/>
        <v>56838.184092965916</v>
      </c>
      <c r="AG14" s="14">
        <f t="shared" si="18"/>
        <v>56838.184092965916</v>
      </c>
      <c r="AH14" s="14">
        <f t="shared" si="18"/>
        <v>56838.184092965916</v>
      </c>
      <c r="AI14" s="14">
        <f t="shared" si="18"/>
        <v>56838.184092965916</v>
      </c>
      <c r="AJ14" s="14">
        <f t="shared" si="18"/>
        <v>56838.184092965916</v>
      </c>
      <c r="AK14" s="14">
        <f t="shared" si="18"/>
        <v>56838.184092965916</v>
      </c>
      <c r="AL14" s="14">
        <f t="shared" si="18"/>
        <v>56838.184092965916</v>
      </c>
      <c r="AM14" s="14">
        <f t="shared" si="18"/>
        <v>58521.023737764634</v>
      </c>
      <c r="AN14" s="14">
        <f t="shared" si="18"/>
        <v>58521.023737764634</v>
      </c>
      <c r="AO14" s="14">
        <f t="shared" si="18"/>
        <v>58521.023737764634</v>
      </c>
      <c r="AP14" s="15">
        <f t="shared" si="2"/>
        <v>361406.73962240096</v>
      </c>
      <c r="AQ14" s="15">
        <f t="shared" si="3"/>
        <v>655529.0441986724</v>
      </c>
      <c r="AR14" s="15">
        <f t="shared" si="4"/>
        <v>688957.12086804956</v>
      </c>
      <c r="AS14" s="16">
        <f t="shared" si="5"/>
        <v>1705892.9046891229</v>
      </c>
      <c r="AT14" s="15">
        <f t="shared" si="6"/>
        <v>30117.228301866748</v>
      </c>
      <c r="AU14" s="15">
        <f t="shared" si="6"/>
        <v>54627.420349889369</v>
      </c>
      <c r="AV14" s="15">
        <f t="shared" si="6"/>
        <v>57413.093405670799</v>
      </c>
      <c r="AW14" s="16">
        <f t="shared" si="7"/>
        <v>142157.74205742692</v>
      </c>
    </row>
    <row r="15" spans="1:49" ht="13.5" customHeight="1" x14ac:dyDescent="0.3">
      <c r="A15" s="17"/>
      <c r="B15" s="31"/>
      <c r="C15" s="32" t="s">
        <v>59</v>
      </c>
      <c r="D15" s="33"/>
      <c r="E15" s="34">
        <v>0.02</v>
      </c>
      <c r="F15" s="20">
        <f>IF($E$15*F3&lt;1000,1000,($E$15*F3))</f>
        <v>1000</v>
      </c>
      <c r="G15" s="20">
        <f t="shared" ref="G15:AO15" si="19">IF($E$15*G3&lt;1000,1000,($E$15*G3))</f>
        <v>1294</v>
      </c>
      <c r="H15" s="20">
        <f t="shared" si="19"/>
        <v>1449.7</v>
      </c>
      <c r="I15" s="20">
        <f t="shared" si="19"/>
        <v>1654.6860000000001</v>
      </c>
      <c r="J15" s="20">
        <f t="shared" si="19"/>
        <v>1683.4854600000001</v>
      </c>
      <c r="K15" s="20">
        <f t="shared" si="19"/>
        <v>1714.3044245999999</v>
      </c>
      <c r="L15" s="20">
        <f t="shared" si="19"/>
        <v>1747.3362398460004</v>
      </c>
      <c r="M15" s="20">
        <f t="shared" si="19"/>
        <v>2289.0435003444604</v>
      </c>
      <c r="N15" s="20">
        <f t="shared" si="19"/>
        <v>2428.4099732579048</v>
      </c>
      <c r="O15" s="20">
        <f t="shared" si="19"/>
        <v>2580.8177146914845</v>
      </c>
      <c r="P15" s="20">
        <f t="shared" si="19"/>
        <v>4095.1993977094994</v>
      </c>
      <c r="Q15" s="20">
        <f t="shared" si="19"/>
        <v>4412.4683731448058</v>
      </c>
      <c r="R15" s="20">
        <f t="shared" si="19"/>
        <v>4982.5222805634703</v>
      </c>
      <c r="S15" s="20">
        <f t="shared" si="19"/>
        <v>5372.5897527219786</v>
      </c>
      <c r="T15" s="20">
        <f t="shared" si="19"/>
        <v>5801.6639720963349</v>
      </c>
      <c r="U15" s="20">
        <f t="shared" si="19"/>
        <v>6273.64561340813</v>
      </c>
      <c r="V15" s="20">
        <f t="shared" si="19"/>
        <v>6273.64561340813</v>
      </c>
      <c r="W15" s="20">
        <f t="shared" si="19"/>
        <v>6273.64561340813</v>
      </c>
      <c r="X15" s="20">
        <f t="shared" si="19"/>
        <v>6273.64561340813</v>
      </c>
      <c r="Y15" s="20">
        <f t="shared" si="19"/>
        <v>6273.64561340813</v>
      </c>
      <c r="Z15" s="20">
        <f t="shared" si="19"/>
        <v>6273.64561340813</v>
      </c>
      <c r="AA15" s="20">
        <f t="shared" si="19"/>
        <v>6273.64561340813</v>
      </c>
      <c r="AB15" s="20">
        <f t="shared" si="19"/>
        <v>6273.64561340813</v>
      </c>
      <c r="AC15" s="20">
        <f t="shared" si="19"/>
        <v>6344.8567685206517</v>
      </c>
      <c r="AD15" s="20">
        <f t="shared" si="19"/>
        <v>6344.8567685206517</v>
      </c>
      <c r="AE15" s="20">
        <f t="shared" si="19"/>
        <v>6344.8567685206517</v>
      </c>
      <c r="AF15" s="20">
        <f t="shared" si="19"/>
        <v>6270.9095669500157</v>
      </c>
      <c r="AG15" s="20">
        <f t="shared" si="19"/>
        <v>6270.9095669500157</v>
      </c>
      <c r="AH15" s="20">
        <f t="shared" si="19"/>
        <v>6270.9095669500157</v>
      </c>
      <c r="AI15" s="20">
        <f t="shared" si="19"/>
        <v>6270.9095669500157</v>
      </c>
      <c r="AJ15" s="20">
        <f t="shared" si="19"/>
        <v>6270.9095669500157</v>
      </c>
      <c r="AK15" s="20">
        <f t="shared" si="19"/>
        <v>6270.9095669500157</v>
      </c>
      <c r="AL15" s="20">
        <f t="shared" si="19"/>
        <v>6270.9095669500157</v>
      </c>
      <c r="AM15" s="20">
        <f t="shared" si="19"/>
        <v>6530.4994696715021</v>
      </c>
      <c r="AN15" s="20">
        <f t="shared" si="19"/>
        <v>6530.4994696715021</v>
      </c>
      <c r="AO15" s="20">
        <f t="shared" si="19"/>
        <v>6530.4994696715021</v>
      </c>
      <c r="AP15" s="21">
        <f t="shared" si="2"/>
        <v>26349.451083594158</v>
      </c>
      <c r="AQ15" s="21">
        <f t="shared" si="3"/>
        <v>72690.797681167474</v>
      </c>
      <c r="AR15" s="21">
        <f t="shared" si="4"/>
        <v>76177.578914705926</v>
      </c>
      <c r="AS15" s="22">
        <f t="shared" si="5"/>
        <v>175217.82767946756</v>
      </c>
      <c r="AT15" s="21">
        <f t="shared" si="6"/>
        <v>2195.7875902995133</v>
      </c>
      <c r="AU15" s="21">
        <f t="shared" si="6"/>
        <v>6057.5664734306229</v>
      </c>
      <c r="AV15" s="21">
        <f t="shared" si="6"/>
        <v>6348.1315762254935</v>
      </c>
      <c r="AW15" s="22">
        <f t="shared" si="7"/>
        <v>14601.48563995563</v>
      </c>
    </row>
    <row r="16" spans="1:49" ht="13.5" customHeight="1" x14ac:dyDescent="0.3">
      <c r="A16" s="17"/>
      <c r="B16" s="35"/>
      <c r="C16" s="36" t="s">
        <v>60</v>
      </c>
      <c r="D16" s="37"/>
      <c r="E16" s="34">
        <v>1.4999999999999999E-2</v>
      </c>
      <c r="F16" s="20">
        <f>IF($E$16*F3&lt;2500,2500,($E$16*F3))</f>
        <v>2500</v>
      </c>
      <c r="G16" s="20">
        <f t="shared" ref="G16:AO16" si="20">IF($E$16*G3&lt;2500,2500,($E$16*G3))</f>
        <v>2500</v>
      </c>
      <c r="H16" s="20">
        <f t="shared" si="20"/>
        <v>2500</v>
      </c>
      <c r="I16" s="20">
        <f t="shared" si="20"/>
        <v>2500</v>
      </c>
      <c r="J16" s="20">
        <f t="shared" si="20"/>
        <v>2500</v>
      </c>
      <c r="K16" s="20">
        <f t="shared" si="20"/>
        <v>2500</v>
      </c>
      <c r="L16" s="20">
        <f t="shared" si="20"/>
        <v>2500</v>
      </c>
      <c r="M16" s="20">
        <f t="shared" si="20"/>
        <v>2500</v>
      </c>
      <c r="N16" s="20">
        <f t="shared" si="20"/>
        <v>2500</v>
      </c>
      <c r="O16" s="20">
        <f t="shared" si="20"/>
        <v>2500</v>
      </c>
      <c r="P16" s="20">
        <f t="shared" si="20"/>
        <v>3071.3995482821247</v>
      </c>
      <c r="Q16" s="20">
        <f t="shared" si="20"/>
        <v>3309.3512798586039</v>
      </c>
      <c r="R16" s="20">
        <f t="shared" si="20"/>
        <v>3736.891710422603</v>
      </c>
      <c r="S16" s="20">
        <f t="shared" si="20"/>
        <v>4029.4423145414839</v>
      </c>
      <c r="T16" s="20">
        <f t="shared" si="20"/>
        <v>4351.2479790722509</v>
      </c>
      <c r="U16" s="20">
        <f t="shared" si="20"/>
        <v>4705.2342100560973</v>
      </c>
      <c r="V16" s="20">
        <f t="shared" si="20"/>
        <v>4705.2342100560973</v>
      </c>
      <c r="W16" s="20">
        <f t="shared" si="20"/>
        <v>4705.2342100560973</v>
      </c>
      <c r="X16" s="20">
        <f t="shared" si="20"/>
        <v>4705.2342100560973</v>
      </c>
      <c r="Y16" s="20">
        <f t="shared" si="20"/>
        <v>4705.2342100560973</v>
      </c>
      <c r="Z16" s="20">
        <f t="shared" si="20"/>
        <v>4705.2342100560973</v>
      </c>
      <c r="AA16" s="20">
        <f t="shared" si="20"/>
        <v>4705.2342100560973</v>
      </c>
      <c r="AB16" s="20">
        <f t="shared" si="20"/>
        <v>4705.2342100560973</v>
      </c>
      <c r="AC16" s="20">
        <f t="shared" si="20"/>
        <v>4758.6425763904881</v>
      </c>
      <c r="AD16" s="20">
        <f t="shared" si="20"/>
        <v>4758.6425763904881</v>
      </c>
      <c r="AE16" s="20">
        <f t="shared" si="20"/>
        <v>4758.6425763904881</v>
      </c>
      <c r="AF16" s="20">
        <f t="shared" si="20"/>
        <v>4703.1821752125115</v>
      </c>
      <c r="AG16" s="20">
        <f t="shared" si="20"/>
        <v>4703.1821752125115</v>
      </c>
      <c r="AH16" s="20">
        <f t="shared" si="20"/>
        <v>4703.1821752125115</v>
      </c>
      <c r="AI16" s="20">
        <f t="shared" si="20"/>
        <v>4703.1821752125115</v>
      </c>
      <c r="AJ16" s="20">
        <f t="shared" si="20"/>
        <v>4703.1821752125115</v>
      </c>
      <c r="AK16" s="20">
        <f t="shared" si="20"/>
        <v>4703.1821752125115</v>
      </c>
      <c r="AL16" s="20">
        <f t="shared" si="20"/>
        <v>4703.1821752125115</v>
      </c>
      <c r="AM16" s="20">
        <f t="shared" si="20"/>
        <v>4897.8746022536261</v>
      </c>
      <c r="AN16" s="20">
        <f t="shared" si="20"/>
        <v>4897.8746022536261</v>
      </c>
      <c r="AO16" s="20">
        <f t="shared" si="20"/>
        <v>4897.8746022536261</v>
      </c>
      <c r="AP16" s="21">
        <f t="shared" si="2"/>
        <v>31380.750828140732</v>
      </c>
      <c r="AQ16" s="21">
        <f t="shared" si="3"/>
        <v>54518.098260875617</v>
      </c>
      <c r="AR16" s="21">
        <f t="shared" si="4"/>
        <v>57133.184186029437</v>
      </c>
      <c r="AS16" s="22">
        <f t="shared" si="5"/>
        <v>143032.0332750458</v>
      </c>
      <c r="AT16" s="21">
        <f t="shared" si="6"/>
        <v>2615.0625690117276</v>
      </c>
      <c r="AU16" s="21">
        <f t="shared" si="6"/>
        <v>4543.1748550729681</v>
      </c>
      <c r="AV16" s="21">
        <f t="shared" si="6"/>
        <v>4761.0986821691195</v>
      </c>
      <c r="AW16" s="22">
        <f t="shared" si="7"/>
        <v>11919.336106253815</v>
      </c>
    </row>
    <row r="17" spans="1:49" ht="13.5" customHeight="1" x14ac:dyDescent="0.3">
      <c r="A17" s="17"/>
      <c r="B17" s="35"/>
      <c r="C17" s="36" t="s">
        <v>57</v>
      </c>
      <c r="D17" s="37"/>
      <c r="E17" s="38">
        <v>8000</v>
      </c>
      <c r="F17" s="20">
        <f t="shared" ref="F17:Q17" si="21">E17</f>
        <v>8000</v>
      </c>
      <c r="G17" s="20">
        <f t="shared" si="21"/>
        <v>8000</v>
      </c>
      <c r="H17" s="20">
        <f t="shared" si="21"/>
        <v>8000</v>
      </c>
      <c r="I17" s="20">
        <f t="shared" si="21"/>
        <v>8000</v>
      </c>
      <c r="J17" s="20">
        <f t="shared" si="21"/>
        <v>8000</v>
      </c>
      <c r="K17" s="20">
        <f t="shared" si="21"/>
        <v>8000</v>
      </c>
      <c r="L17" s="20">
        <f t="shared" si="21"/>
        <v>8000</v>
      </c>
      <c r="M17" s="20">
        <f t="shared" si="21"/>
        <v>8000</v>
      </c>
      <c r="N17" s="20">
        <f t="shared" si="21"/>
        <v>8000</v>
      </c>
      <c r="O17" s="20">
        <f t="shared" si="21"/>
        <v>8000</v>
      </c>
      <c r="P17" s="20">
        <f t="shared" si="21"/>
        <v>8000</v>
      </c>
      <c r="Q17" s="20">
        <f t="shared" si="21"/>
        <v>8000</v>
      </c>
      <c r="R17" s="20">
        <f>Q17*1.1</f>
        <v>8800</v>
      </c>
      <c r="S17" s="20">
        <f t="shared" ref="S17:AC17" si="22">R17</f>
        <v>8800</v>
      </c>
      <c r="T17" s="20">
        <f t="shared" si="22"/>
        <v>8800</v>
      </c>
      <c r="U17" s="20">
        <f t="shared" si="22"/>
        <v>8800</v>
      </c>
      <c r="V17" s="20">
        <f t="shared" si="22"/>
        <v>8800</v>
      </c>
      <c r="W17" s="20">
        <f t="shared" si="22"/>
        <v>8800</v>
      </c>
      <c r="X17" s="20">
        <f t="shared" si="22"/>
        <v>8800</v>
      </c>
      <c r="Y17" s="20">
        <f t="shared" si="22"/>
        <v>8800</v>
      </c>
      <c r="Z17" s="20">
        <f t="shared" si="22"/>
        <v>8800</v>
      </c>
      <c r="AA17" s="20">
        <f t="shared" si="22"/>
        <v>8800</v>
      </c>
      <c r="AB17" s="20">
        <f t="shared" si="22"/>
        <v>8800</v>
      </c>
      <c r="AC17" s="20">
        <f t="shared" si="22"/>
        <v>8800</v>
      </c>
      <c r="AD17" s="20">
        <f>AC17*1.1</f>
        <v>9680</v>
      </c>
      <c r="AE17" s="20">
        <f t="shared" ref="AE17:AO17" si="23">AD17</f>
        <v>9680</v>
      </c>
      <c r="AF17" s="20">
        <f t="shared" si="23"/>
        <v>9680</v>
      </c>
      <c r="AG17" s="20">
        <f t="shared" si="23"/>
        <v>9680</v>
      </c>
      <c r="AH17" s="20">
        <f t="shared" si="23"/>
        <v>9680</v>
      </c>
      <c r="AI17" s="20">
        <f t="shared" si="23"/>
        <v>9680</v>
      </c>
      <c r="AJ17" s="20">
        <f t="shared" si="23"/>
        <v>9680</v>
      </c>
      <c r="AK17" s="20">
        <f t="shared" si="23"/>
        <v>9680</v>
      </c>
      <c r="AL17" s="20">
        <f t="shared" si="23"/>
        <v>9680</v>
      </c>
      <c r="AM17" s="20">
        <f t="shared" si="23"/>
        <v>9680</v>
      </c>
      <c r="AN17" s="20">
        <f t="shared" si="23"/>
        <v>9680</v>
      </c>
      <c r="AO17" s="20">
        <f t="shared" si="23"/>
        <v>9680</v>
      </c>
      <c r="AP17" s="21">
        <f t="shared" si="2"/>
        <v>96000</v>
      </c>
      <c r="AQ17" s="21">
        <f t="shared" si="3"/>
        <v>105600</v>
      </c>
      <c r="AR17" s="21">
        <f t="shared" si="4"/>
        <v>116160</v>
      </c>
      <c r="AS17" s="22">
        <f t="shared" si="5"/>
        <v>317760</v>
      </c>
      <c r="AT17" s="21">
        <f t="shared" si="6"/>
        <v>8000</v>
      </c>
      <c r="AU17" s="21">
        <f t="shared" si="6"/>
        <v>8800</v>
      </c>
      <c r="AV17" s="21">
        <f t="shared" si="6"/>
        <v>9680</v>
      </c>
      <c r="AW17" s="22">
        <f t="shared" si="7"/>
        <v>26480</v>
      </c>
    </row>
    <row r="18" spans="1:49" ht="13.5" customHeight="1" x14ac:dyDescent="0.3">
      <c r="A18" s="29"/>
      <c r="B18" s="10" t="s">
        <v>23</v>
      </c>
      <c r="C18" s="39" t="s">
        <v>24</v>
      </c>
      <c r="D18" s="40"/>
      <c r="E18" s="41"/>
      <c r="F18" s="42">
        <f t="shared" ref="F18:AO18" si="24">SUM(F19:F21)</f>
        <v>7000</v>
      </c>
      <c r="G18" s="42">
        <f t="shared" si="24"/>
        <v>7000</v>
      </c>
      <c r="H18" s="42">
        <f t="shared" si="24"/>
        <v>7000</v>
      </c>
      <c r="I18" s="42">
        <f t="shared" si="24"/>
        <v>7000</v>
      </c>
      <c r="J18" s="42">
        <f t="shared" si="24"/>
        <v>7000</v>
      </c>
      <c r="K18" s="42">
        <f t="shared" si="24"/>
        <v>7000</v>
      </c>
      <c r="L18" s="42">
        <f t="shared" si="24"/>
        <v>7000</v>
      </c>
      <c r="M18" s="42">
        <f t="shared" si="24"/>
        <v>7000</v>
      </c>
      <c r="N18" s="42">
        <f t="shared" si="24"/>
        <v>7000</v>
      </c>
      <c r="O18" s="42">
        <f t="shared" si="24"/>
        <v>7000</v>
      </c>
      <c r="P18" s="42">
        <f t="shared" si="24"/>
        <v>7000</v>
      </c>
      <c r="Q18" s="42">
        <f t="shared" si="24"/>
        <v>7000</v>
      </c>
      <c r="R18" s="42">
        <f t="shared" si="24"/>
        <v>7315</v>
      </c>
      <c r="S18" s="42">
        <f t="shared" si="24"/>
        <v>7315</v>
      </c>
      <c r="T18" s="42">
        <f t="shared" si="24"/>
        <v>7315</v>
      </c>
      <c r="U18" s="42">
        <f t="shared" si="24"/>
        <v>7315</v>
      </c>
      <c r="V18" s="42">
        <f t="shared" si="24"/>
        <v>7315</v>
      </c>
      <c r="W18" s="42">
        <f t="shared" si="24"/>
        <v>7315</v>
      </c>
      <c r="X18" s="42">
        <f t="shared" si="24"/>
        <v>7315</v>
      </c>
      <c r="Y18" s="42">
        <f t="shared" si="24"/>
        <v>7315</v>
      </c>
      <c r="Z18" s="42">
        <f t="shared" si="24"/>
        <v>7315</v>
      </c>
      <c r="AA18" s="42">
        <f t="shared" si="24"/>
        <v>7315</v>
      </c>
      <c r="AB18" s="42">
        <f t="shared" si="24"/>
        <v>7315</v>
      </c>
      <c r="AC18" s="42">
        <f t="shared" si="24"/>
        <v>7796.5</v>
      </c>
      <c r="AD18" s="42">
        <f t="shared" si="24"/>
        <v>7796.5</v>
      </c>
      <c r="AE18" s="42">
        <f t="shared" si="24"/>
        <v>7796.5</v>
      </c>
      <c r="AF18" s="42">
        <f t="shared" si="24"/>
        <v>7296.5</v>
      </c>
      <c r="AG18" s="42">
        <f t="shared" si="24"/>
        <v>7296.5</v>
      </c>
      <c r="AH18" s="42">
        <f t="shared" si="24"/>
        <v>7296.5</v>
      </c>
      <c r="AI18" s="42">
        <f t="shared" si="24"/>
        <v>7296.5</v>
      </c>
      <c r="AJ18" s="42">
        <f t="shared" si="24"/>
        <v>7296.5</v>
      </c>
      <c r="AK18" s="42">
        <f t="shared" si="24"/>
        <v>7296.5</v>
      </c>
      <c r="AL18" s="42">
        <f t="shared" si="24"/>
        <v>7296.5</v>
      </c>
      <c r="AM18" s="42">
        <f t="shared" si="24"/>
        <v>7296.5</v>
      </c>
      <c r="AN18" s="42">
        <f t="shared" si="24"/>
        <v>7296.5</v>
      </c>
      <c r="AO18" s="42">
        <f t="shared" si="24"/>
        <v>7296.5</v>
      </c>
      <c r="AP18" s="43">
        <f t="shared" si="2"/>
        <v>84000</v>
      </c>
      <c r="AQ18" s="43">
        <f t="shared" si="3"/>
        <v>88261.5</v>
      </c>
      <c r="AR18" s="43">
        <f t="shared" si="4"/>
        <v>88558</v>
      </c>
      <c r="AS18" s="44">
        <f t="shared" si="5"/>
        <v>260819.5</v>
      </c>
      <c r="AT18" s="43">
        <f t="shared" si="6"/>
        <v>7000</v>
      </c>
      <c r="AU18" s="43">
        <f t="shared" si="6"/>
        <v>7355.125</v>
      </c>
      <c r="AV18" s="43">
        <f t="shared" si="6"/>
        <v>7379.833333333333</v>
      </c>
      <c r="AW18" s="44">
        <f t="shared" si="7"/>
        <v>21734.958333333332</v>
      </c>
    </row>
    <row r="19" spans="1:49" ht="13.5" customHeight="1" x14ac:dyDescent="0.3">
      <c r="A19" s="29"/>
      <c r="B19" s="10"/>
      <c r="C19" s="45"/>
      <c r="D19" s="46" t="s">
        <v>25</v>
      </c>
      <c r="E19" s="47"/>
      <c r="F19" s="20">
        <v>2000</v>
      </c>
      <c r="G19" s="20">
        <f>F19</f>
        <v>2000</v>
      </c>
      <c r="H19" s="20">
        <f>G19</f>
        <v>2000</v>
      </c>
      <c r="I19" s="20">
        <f t="shared" ref="I19:X20" si="25">H19</f>
        <v>2000</v>
      </c>
      <c r="J19" s="20">
        <f t="shared" si="25"/>
        <v>2000</v>
      </c>
      <c r="K19" s="20">
        <f t="shared" si="25"/>
        <v>2000</v>
      </c>
      <c r="L19" s="20">
        <f t="shared" si="25"/>
        <v>2000</v>
      </c>
      <c r="M19" s="20">
        <f t="shared" si="25"/>
        <v>2000</v>
      </c>
      <c r="N19" s="20">
        <f t="shared" si="25"/>
        <v>2000</v>
      </c>
      <c r="O19" s="20">
        <f t="shared" si="25"/>
        <v>2000</v>
      </c>
      <c r="P19" s="20">
        <f t="shared" si="25"/>
        <v>2000</v>
      </c>
      <c r="Q19" s="20">
        <f t="shared" si="25"/>
        <v>2000</v>
      </c>
      <c r="R19" s="20">
        <f t="shared" si="25"/>
        <v>2000</v>
      </c>
      <c r="S19" s="20">
        <f t="shared" si="25"/>
        <v>2000</v>
      </c>
      <c r="T19" s="20">
        <f t="shared" si="25"/>
        <v>2000</v>
      </c>
      <c r="U19" s="20">
        <f t="shared" si="25"/>
        <v>2000</v>
      </c>
      <c r="V19" s="20">
        <f t="shared" si="25"/>
        <v>2000</v>
      </c>
      <c r="W19" s="20">
        <f t="shared" si="25"/>
        <v>2000</v>
      </c>
      <c r="X19" s="20">
        <f t="shared" si="25"/>
        <v>2000</v>
      </c>
      <c r="Y19" s="20">
        <f t="shared" ref="Y19:AN20" si="26">X19</f>
        <v>2000</v>
      </c>
      <c r="Z19" s="20">
        <f t="shared" si="26"/>
        <v>2000</v>
      </c>
      <c r="AA19" s="20">
        <f t="shared" si="26"/>
        <v>2000</v>
      </c>
      <c r="AB19" s="20">
        <f t="shared" si="26"/>
        <v>2000</v>
      </c>
      <c r="AC19" s="20">
        <f t="shared" si="26"/>
        <v>2000</v>
      </c>
      <c r="AD19" s="20">
        <f t="shared" si="26"/>
        <v>2000</v>
      </c>
      <c r="AE19" s="20">
        <f t="shared" si="26"/>
        <v>2000</v>
      </c>
      <c r="AF19" s="20">
        <v>1500</v>
      </c>
      <c r="AG19" s="20">
        <v>1500</v>
      </c>
      <c r="AH19" s="20">
        <v>1500</v>
      </c>
      <c r="AI19" s="20">
        <v>1500</v>
      </c>
      <c r="AJ19" s="20">
        <v>1500</v>
      </c>
      <c r="AK19" s="20">
        <v>1500</v>
      </c>
      <c r="AL19" s="20">
        <v>1500</v>
      </c>
      <c r="AM19" s="20">
        <v>1500</v>
      </c>
      <c r="AN19" s="20">
        <v>1500</v>
      </c>
      <c r="AO19" s="20">
        <v>1500</v>
      </c>
      <c r="AP19" s="21">
        <f t="shared" si="2"/>
        <v>24000</v>
      </c>
      <c r="AQ19" s="21">
        <f t="shared" si="3"/>
        <v>24000</v>
      </c>
      <c r="AR19" s="21">
        <f t="shared" si="4"/>
        <v>19000</v>
      </c>
      <c r="AS19" s="22">
        <f t="shared" si="5"/>
        <v>67000</v>
      </c>
      <c r="AT19" s="21">
        <f t="shared" ref="AT19:AV28" si="27">AP19/12</f>
        <v>2000</v>
      </c>
      <c r="AU19" s="21">
        <f t="shared" si="27"/>
        <v>2000</v>
      </c>
      <c r="AV19" s="21">
        <f t="shared" si="27"/>
        <v>1583.3333333333333</v>
      </c>
      <c r="AW19" s="22">
        <f t="shared" si="7"/>
        <v>5583.333333333333</v>
      </c>
    </row>
    <row r="20" spans="1:49" ht="13.5" customHeight="1" x14ac:dyDescent="0.3">
      <c r="A20" s="29"/>
      <c r="B20" s="10"/>
      <c r="C20" s="45"/>
      <c r="D20" s="46" t="s">
        <v>26</v>
      </c>
      <c r="E20" s="47"/>
      <c r="F20" s="20">
        <v>4500</v>
      </c>
      <c r="G20" s="20">
        <f>F20</f>
        <v>4500</v>
      </c>
      <c r="H20" s="20">
        <f>G20</f>
        <v>4500</v>
      </c>
      <c r="I20" s="20">
        <f t="shared" si="25"/>
        <v>4500</v>
      </c>
      <c r="J20" s="20">
        <f t="shared" si="25"/>
        <v>4500</v>
      </c>
      <c r="K20" s="20">
        <f t="shared" si="25"/>
        <v>4500</v>
      </c>
      <c r="L20" s="20">
        <f t="shared" si="25"/>
        <v>4500</v>
      </c>
      <c r="M20" s="20">
        <f t="shared" si="25"/>
        <v>4500</v>
      </c>
      <c r="N20" s="20">
        <f t="shared" si="25"/>
        <v>4500</v>
      </c>
      <c r="O20" s="20">
        <f t="shared" si="25"/>
        <v>4500</v>
      </c>
      <c r="P20" s="20">
        <f t="shared" si="25"/>
        <v>4500</v>
      </c>
      <c r="Q20" s="20">
        <f t="shared" si="25"/>
        <v>4500</v>
      </c>
      <c r="R20" s="20">
        <f>Q20*1.07</f>
        <v>4815</v>
      </c>
      <c r="S20" s="20">
        <f>R20</f>
        <v>4815</v>
      </c>
      <c r="T20" s="20">
        <f t="shared" si="25"/>
        <v>4815</v>
      </c>
      <c r="U20" s="20">
        <f t="shared" si="25"/>
        <v>4815</v>
      </c>
      <c r="V20" s="20">
        <f t="shared" si="25"/>
        <v>4815</v>
      </c>
      <c r="W20" s="20">
        <f t="shared" si="25"/>
        <v>4815</v>
      </c>
      <c r="X20" s="20">
        <f t="shared" si="25"/>
        <v>4815</v>
      </c>
      <c r="Y20" s="20">
        <f t="shared" si="26"/>
        <v>4815</v>
      </c>
      <c r="Z20" s="20">
        <f t="shared" si="26"/>
        <v>4815</v>
      </c>
      <c r="AA20" s="20">
        <f t="shared" si="26"/>
        <v>4815</v>
      </c>
      <c r="AB20" s="20">
        <f t="shared" si="26"/>
        <v>4815</v>
      </c>
      <c r="AC20" s="20">
        <f>AB20*1.1</f>
        <v>5296.5</v>
      </c>
      <c r="AD20" s="20">
        <f>AC20</f>
        <v>5296.5</v>
      </c>
      <c r="AE20" s="20">
        <f t="shared" si="26"/>
        <v>5296.5</v>
      </c>
      <c r="AF20" s="20">
        <f t="shared" si="26"/>
        <v>5296.5</v>
      </c>
      <c r="AG20" s="20">
        <f t="shared" si="26"/>
        <v>5296.5</v>
      </c>
      <c r="AH20" s="20">
        <f t="shared" si="26"/>
        <v>5296.5</v>
      </c>
      <c r="AI20" s="20">
        <f t="shared" si="26"/>
        <v>5296.5</v>
      </c>
      <c r="AJ20" s="20">
        <f t="shared" si="26"/>
        <v>5296.5</v>
      </c>
      <c r="AK20" s="20">
        <f t="shared" si="26"/>
        <v>5296.5</v>
      </c>
      <c r="AL20" s="20">
        <f t="shared" si="26"/>
        <v>5296.5</v>
      </c>
      <c r="AM20" s="20">
        <f t="shared" si="26"/>
        <v>5296.5</v>
      </c>
      <c r="AN20" s="20">
        <f t="shared" si="26"/>
        <v>5296.5</v>
      </c>
      <c r="AO20" s="20">
        <f t="shared" ref="AO20:AX20" si="28">AN20</f>
        <v>5296.5</v>
      </c>
      <c r="AP20" s="21">
        <f t="shared" si="2"/>
        <v>54000</v>
      </c>
      <c r="AQ20" s="21">
        <f t="shared" si="3"/>
        <v>58261.5</v>
      </c>
      <c r="AR20" s="21">
        <f t="shared" si="4"/>
        <v>63558</v>
      </c>
      <c r="AS20" s="22">
        <f t="shared" si="5"/>
        <v>175819.5</v>
      </c>
      <c r="AT20" s="21">
        <f t="shared" si="27"/>
        <v>4500</v>
      </c>
      <c r="AU20" s="21">
        <f t="shared" si="27"/>
        <v>4855.125</v>
      </c>
      <c r="AV20" s="21">
        <f t="shared" si="27"/>
        <v>5296.5</v>
      </c>
      <c r="AW20" s="22">
        <f t="shared" si="7"/>
        <v>14651.625</v>
      </c>
    </row>
    <row r="21" spans="1:49" ht="13.5" customHeight="1" x14ac:dyDescent="0.3">
      <c r="A21" s="29"/>
      <c r="B21" s="10"/>
      <c r="C21" s="45"/>
      <c r="D21" s="46" t="s">
        <v>27</v>
      </c>
      <c r="E21" s="48"/>
      <c r="F21" s="20">
        <v>500</v>
      </c>
      <c r="G21" s="20">
        <v>500</v>
      </c>
      <c r="H21" s="20">
        <v>500</v>
      </c>
      <c r="I21" s="20">
        <v>500</v>
      </c>
      <c r="J21" s="20">
        <v>500</v>
      </c>
      <c r="K21" s="20">
        <v>500</v>
      </c>
      <c r="L21" s="20">
        <v>500</v>
      </c>
      <c r="M21" s="20">
        <v>500</v>
      </c>
      <c r="N21" s="20">
        <v>500</v>
      </c>
      <c r="O21" s="20">
        <v>500</v>
      </c>
      <c r="P21" s="20">
        <v>500</v>
      </c>
      <c r="Q21" s="20">
        <v>500</v>
      </c>
      <c r="R21" s="20">
        <v>500</v>
      </c>
      <c r="S21" s="20">
        <v>500</v>
      </c>
      <c r="T21" s="20">
        <v>500</v>
      </c>
      <c r="U21" s="20">
        <v>500</v>
      </c>
      <c r="V21" s="20">
        <v>500</v>
      </c>
      <c r="W21" s="20">
        <v>500</v>
      </c>
      <c r="X21" s="20">
        <v>500</v>
      </c>
      <c r="Y21" s="20">
        <v>500</v>
      </c>
      <c r="Z21" s="20">
        <v>500</v>
      </c>
      <c r="AA21" s="20">
        <v>500</v>
      </c>
      <c r="AB21" s="20">
        <v>500</v>
      </c>
      <c r="AC21" s="20">
        <v>500</v>
      </c>
      <c r="AD21" s="20">
        <v>500</v>
      </c>
      <c r="AE21" s="20">
        <v>500</v>
      </c>
      <c r="AF21" s="20">
        <v>500</v>
      </c>
      <c r="AG21" s="20">
        <v>500</v>
      </c>
      <c r="AH21" s="20">
        <v>500</v>
      </c>
      <c r="AI21" s="20">
        <v>500</v>
      </c>
      <c r="AJ21" s="20">
        <v>500</v>
      </c>
      <c r="AK21" s="20">
        <v>500</v>
      </c>
      <c r="AL21" s="20">
        <v>500</v>
      </c>
      <c r="AM21" s="20">
        <v>500</v>
      </c>
      <c r="AN21" s="20">
        <v>500</v>
      </c>
      <c r="AO21" s="20">
        <v>500</v>
      </c>
      <c r="AP21" s="21">
        <f t="shared" si="2"/>
        <v>6000</v>
      </c>
      <c r="AQ21" s="21">
        <f t="shared" si="3"/>
        <v>6000</v>
      </c>
      <c r="AR21" s="21">
        <f t="shared" si="4"/>
        <v>6000</v>
      </c>
      <c r="AS21" s="22">
        <f t="shared" si="5"/>
        <v>18000</v>
      </c>
      <c r="AT21" s="21">
        <f t="shared" si="27"/>
        <v>500</v>
      </c>
      <c r="AU21" s="21">
        <f t="shared" si="27"/>
        <v>500</v>
      </c>
      <c r="AV21" s="21">
        <f t="shared" si="27"/>
        <v>500</v>
      </c>
      <c r="AW21" s="22">
        <f t="shared" si="7"/>
        <v>1500</v>
      </c>
    </row>
    <row r="22" spans="1:49" ht="13.5" customHeight="1" x14ac:dyDescent="0.3">
      <c r="A22" s="29"/>
      <c r="B22" s="10"/>
      <c r="C22" s="39" t="s">
        <v>28</v>
      </c>
      <c r="D22" s="40"/>
      <c r="E22" s="49">
        <v>0.03</v>
      </c>
      <c r="F22" s="42">
        <f t="shared" ref="F22:AO22" si="29">SUM(F4:F5)*$E$22</f>
        <v>1275</v>
      </c>
      <c r="G22" s="42">
        <f t="shared" si="29"/>
        <v>1702.5</v>
      </c>
      <c r="H22" s="42">
        <f t="shared" si="29"/>
        <v>1912.1999999999998</v>
      </c>
      <c r="I22" s="42">
        <f t="shared" si="29"/>
        <v>2193.444</v>
      </c>
      <c r="J22" s="42">
        <f t="shared" si="29"/>
        <v>2207.78469</v>
      </c>
      <c r="K22" s="42">
        <f t="shared" si="29"/>
        <v>2222.2687868999997</v>
      </c>
      <c r="L22" s="42">
        <f t="shared" si="29"/>
        <v>2236.897724769</v>
      </c>
      <c r="M22" s="42">
        <f t="shared" si="29"/>
        <v>3011.0479520166896</v>
      </c>
      <c r="N22" s="42">
        <f t="shared" si="29"/>
        <v>3177.8459315368568</v>
      </c>
      <c r="O22" s="42">
        <f t="shared" si="29"/>
        <v>3359.9806408522259</v>
      </c>
      <c r="P22" s="42">
        <f t="shared" si="29"/>
        <v>5580.4285722607483</v>
      </c>
      <c r="Q22" s="42">
        <f t="shared" si="29"/>
        <v>6000.0949829833571</v>
      </c>
      <c r="R22" s="42">
        <f t="shared" si="29"/>
        <v>6759.2916697176088</v>
      </c>
      <c r="S22" s="42">
        <f t="shared" si="29"/>
        <v>7272.9437028426091</v>
      </c>
      <c r="T22" s="42">
        <f t="shared" si="29"/>
        <v>7837.9609392801094</v>
      </c>
      <c r="U22" s="42">
        <f t="shared" si="29"/>
        <v>8459.4798993613622</v>
      </c>
      <c r="V22" s="42">
        <f t="shared" si="29"/>
        <v>8459.4798993613622</v>
      </c>
      <c r="W22" s="42">
        <f t="shared" si="29"/>
        <v>8459.4798993613622</v>
      </c>
      <c r="X22" s="42">
        <f t="shared" si="29"/>
        <v>8459.4798993613622</v>
      </c>
      <c r="Y22" s="42">
        <f t="shared" si="29"/>
        <v>8459.4798993613622</v>
      </c>
      <c r="Z22" s="42">
        <f t="shared" si="29"/>
        <v>8459.4798993613622</v>
      </c>
      <c r="AA22" s="42">
        <f t="shared" si="29"/>
        <v>8459.4798993613622</v>
      </c>
      <c r="AB22" s="42">
        <f t="shared" si="29"/>
        <v>8459.4798993613622</v>
      </c>
      <c r="AC22" s="42">
        <f t="shared" si="29"/>
        <v>8566.2966320301439</v>
      </c>
      <c r="AD22" s="42">
        <f t="shared" si="29"/>
        <v>8566.2966320301439</v>
      </c>
      <c r="AE22" s="42">
        <f t="shared" si="29"/>
        <v>8566.2966320301439</v>
      </c>
      <c r="AF22" s="42">
        <f t="shared" si="29"/>
        <v>8455.3758296741908</v>
      </c>
      <c r="AG22" s="42">
        <f t="shared" si="29"/>
        <v>8455.3758296741908</v>
      </c>
      <c r="AH22" s="42">
        <f t="shared" si="29"/>
        <v>8455.3758296741908</v>
      </c>
      <c r="AI22" s="42">
        <f t="shared" si="29"/>
        <v>8455.3758296741908</v>
      </c>
      <c r="AJ22" s="42">
        <f t="shared" si="29"/>
        <v>8455.3758296741908</v>
      </c>
      <c r="AK22" s="42">
        <f t="shared" si="29"/>
        <v>8455.3758296741908</v>
      </c>
      <c r="AL22" s="42">
        <f t="shared" si="29"/>
        <v>8455.3758296741908</v>
      </c>
      <c r="AM22" s="42">
        <f t="shared" si="29"/>
        <v>8797.2112577188782</v>
      </c>
      <c r="AN22" s="42">
        <f t="shared" si="29"/>
        <v>8797.2112577188782</v>
      </c>
      <c r="AO22" s="42">
        <f t="shared" si="29"/>
        <v>8797.2112577188782</v>
      </c>
      <c r="AP22" s="43">
        <f t="shared" si="2"/>
        <v>34879.493281318879</v>
      </c>
      <c r="AQ22" s="43">
        <f t="shared" si="3"/>
        <v>98112.332138761398</v>
      </c>
      <c r="AR22" s="43">
        <f t="shared" si="4"/>
        <v>102711.85784493625</v>
      </c>
      <c r="AS22" s="44">
        <f t="shared" si="5"/>
        <v>235703.68326501653</v>
      </c>
      <c r="AT22" s="43">
        <f t="shared" si="27"/>
        <v>2906.6244401099066</v>
      </c>
      <c r="AU22" s="43">
        <f t="shared" si="27"/>
        <v>8176.0276782301162</v>
      </c>
      <c r="AV22" s="43">
        <f t="shared" si="27"/>
        <v>8559.3214870780212</v>
      </c>
      <c r="AW22" s="44">
        <f t="shared" si="7"/>
        <v>19641.973605418043</v>
      </c>
    </row>
    <row r="23" spans="1:49" ht="13.5" customHeight="1" x14ac:dyDescent="0.3">
      <c r="A23" s="29"/>
      <c r="B23" s="10"/>
      <c r="C23" s="39" t="s">
        <v>12</v>
      </c>
      <c r="D23" s="40"/>
      <c r="E23" s="49">
        <v>0.15</v>
      </c>
      <c r="F23" s="42">
        <f t="shared" ref="F23:AO23" si="30">$E$23*F6</f>
        <v>900</v>
      </c>
      <c r="G23" s="42">
        <f t="shared" si="30"/>
        <v>1192.5</v>
      </c>
      <c r="H23" s="42">
        <f t="shared" si="30"/>
        <v>1311.75</v>
      </c>
      <c r="I23" s="42">
        <f t="shared" si="30"/>
        <v>1442.9250000000002</v>
      </c>
      <c r="J23" s="42">
        <f t="shared" si="30"/>
        <v>1587.2175000000004</v>
      </c>
      <c r="K23" s="42">
        <f t="shared" si="30"/>
        <v>1745.9392500000006</v>
      </c>
      <c r="L23" s="42">
        <f t="shared" si="30"/>
        <v>1920.5331750000009</v>
      </c>
      <c r="M23" s="42">
        <f t="shared" si="30"/>
        <v>2112.5864925000014</v>
      </c>
      <c r="N23" s="42">
        <f t="shared" si="30"/>
        <v>2323.8451417500019</v>
      </c>
      <c r="O23" s="42">
        <f t="shared" si="30"/>
        <v>2556.2296559250017</v>
      </c>
      <c r="P23" s="42">
        <f t="shared" si="30"/>
        <v>2811.8526215175029</v>
      </c>
      <c r="Q23" s="42">
        <f t="shared" si="30"/>
        <v>3093.0378836692526</v>
      </c>
      <c r="R23" s="42">
        <f t="shared" si="30"/>
        <v>3572.4587556379879</v>
      </c>
      <c r="S23" s="42">
        <f t="shared" si="30"/>
        <v>3929.7046312017865</v>
      </c>
      <c r="T23" s="42">
        <f t="shared" si="30"/>
        <v>4322.6750943219658</v>
      </c>
      <c r="U23" s="42">
        <f t="shared" si="30"/>
        <v>4754.9426037541616</v>
      </c>
      <c r="V23" s="42">
        <f t="shared" si="30"/>
        <v>4754.9426037541616</v>
      </c>
      <c r="W23" s="42">
        <f t="shared" si="30"/>
        <v>4754.9426037541616</v>
      </c>
      <c r="X23" s="42">
        <f t="shared" si="30"/>
        <v>4754.9426037541616</v>
      </c>
      <c r="Y23" s="42">
        <f t="shared" si="30"/>
        <v>4754.9426037541616</v>
      </c>
      <c r="Z23" s="42">
        <f t="shared" si="30"/>
        <v>4754.9426037541616</v>
      </c>
      <c r="AA23" s="42">
        <f t="shared" si="30"/>
        <v>4754.9426037541616</v>
      </c>
      <c r="AB23" s="42">
        <f t="shared" si="30"/>
        <v>4754.9426037541616</v>
      </c>
      <c r="AC23" s="42">
        <f t="shared" si="30"/>
        <v>4754.9426037541616</v>
      </c>
      <c r="AD23" s="42">
        <f t="shared" si="30"/>
        <v>4754.9426037541616</v>
      </c>
      <c r="AE23" s="42">
        <f t="shared" si="30"/>
        <v>4754.9426037541616</v>
      </c>
      <c r="AF23" s="42">
        <f t="shared" si="30"/>
        <v>4754.9426037541616</v>
      </c>
      <c r="AG23" s="42">
        <f t="shared" si="30"/>
        <v>4754.9426037541616</v>
      </c>
      <c r="AH23" s="42">
        <f t="shared" si="30"/>
        <v>4754.9426037541616</v>
      </c>
      <c r="AI23" s="42">
        <f t="shared" si="30"/>
        <v>4754.9426037541616</v>
      </c>
      <c r="AJ23" s="42">
        <f t="shared" si="30"/>
        <v>4754.9426037541616</v>
      </c>
      <c r="AK23" s="42">
        <f t="shared" si="30"/>
        <v>4754.9426037541616</v>
      </c>
      <c r="AL23" s="42">
        <f t="shared" si="30"/>
        <v>4754.9426037541616</v>
      </c>
      <c r="AM23" s="42">
        <f t="shared" si="30"/>
        <v>4992.6897339418701</v>
      </c>
      <c r="AN23" s="42">
        <f t="shared" si="30"/>
        <v>4992.6897339418701</v>
      </c>
      <c r="AO23" s="42">
        <f t="shared" si="30"/>
        <v>4992.6897339418701</v>
      </c>
      <c r="AP23" s="43">
        <f t="shared" si="2"/>
        <v>22998.416720361762</v>
      </c>
      <c r="AQ23" s="43">
        <f t="shared" si="3"/>
        <v>54619.321914949207</v>
      </c>
      <c r="AR23" s="43">
        <f t="shared" si="4"/>
        <v>57772.552635613079</v>
      </c>
      <c r="AS23" s="44">
        <f t="shared" si="5"/>
        <v>135390.29127092403</v>
      </c>
      <c r="AT23" s="43">
        <f t="shared" si="27"/>
        <v>1916.5347266968136</v>
      </c>
      <c r="AU23" s="43">
        <f t="shared" si="27"/>
        <v>4551.6101595791006</v>
      </c>
      <c r="AV23" s="43">
        <f t="shared" si="27"/>
        <v>4814.3793863010897</v>
      </c>
      <c r="AW23" s="44">
        <f t="shared" si="7"/>
        <v>11282.524272577004</v>
      </c>
    </row>
    <row r="24" spans="1:49" ht="13.5" customHeight="1" x14ac:dyDescent="0.3">
      <c r="A24" s="29"/>
      <c r="B24" s="10"/>
      <c r="C24" s="39" t="s">
        <v>29</v>
      </c>
      <c r="D24" s="40"/>
      <c r="E24" s="49">
        <v>0.03</v>
      </c>
      <c r="F24" s="42">
        <f t="shared" ref="F24:AO24" si="31">F3*$E$24</f>
        <v>1455</v>
      </c>
      <c r="G24" s="42">
        <f t="shared" si="31"/>
        <v>1941</v>
      </c>
      <c r="H24" s="42">
        <f t="shared" si="31"/>
        <v>2174.5499999999997</v>
      </c>
      <c r="I24" s="42">
        <f t="shared" si="31"/>
        <v>2482.029</v>
      </c>
      <c r="J24" s="42">
        <f t="shared" si="31"/>
        <v>2525.2281899999998</v>
      </c>
      <c r="K24" s="42">
        <f t="shared" si="31"/>
        <v>2571.4566368999999</v>
      </c>
      <c r="L24" s="42">
        <f t="shared" si="31"/>
        <v>2621.0043597690005</v>
      </c>
      <c r="M24" s="42">
        <f t="shared" si="31"/>
        <v>3433.56525051669</v>
      </c>
      <c r="N24" s="42">
        <f t="shared" si="31"/>
        <v>3642.6149598868574</v>
      </c>
      <c r="O24" s="42">
        <f t="shared" si="31"/>
        <v>3871.2265720372261</v>
      </c>
      <c r="P24" s="42">
        <f t="shared" si="31"/>
        <v>6142.7990965642493</v>
      </c>
      <c r="Q24" s="42">
        <f t="shared" si="31"/>
        <v>6618.7025597172078</v>
      </c>
      <c r="R24" s="42">
        <f t="shared" si="31"/>
        <v>7473.7834208452059</v>
      </c>
      <c r="S24" s="42">
        <f t="shared" si="31"/>
        <v>8058.8846290829679</v>
      </c>
      <c r="T24" s="42">
        <f t="shared" si="31"/>
        <v>8702.4959581445019</v>
      </c>
      <c r="U24" s="42">
        <f t="shared" si="31"/>
        <v>9410.4684201121945</v>
      </c>
      <c r="V24" s="42">
        <f t="shared" si="31"/>
        <v>9410.4684201121945</v>
      </c>
      <c r="W24" s="42">
        <f t="shared" si="31"/>
        <v>9410.4684201121945</v>
      </c>
      <c r="X24" s="42">
        <f t="shared" si="31"/>
        <v>9410.4684201121945</v>
      </c>
      <c r="Y24" s="42">
        <f t="shared" si="31"/>
        <v>9410.4684201121945</v>
      </c>
      <c r="Z24" s="42">
        <f t="shared" si="31"/>
        <v>9410.4684201121945</v>
      </c>
      <c r="AA24" s="42">
        <f t="shared" si="31"/>
        <v>9410.4684201121945</v>
      </c>
      <c r="AB24" s="42">
        <f t="shared" si="31"/>
        <v>9410.4684201121945</v>
      </c>
      <c r="AC24" s="42">
        <f t="shared" si="31"/>
        <v>9517.2851527809762</v>
      </c>
      <c r="AD24" s="42">
        <f t="shared" si="31"/>
        <v>9517.2851527809762</v>
      </c>
      <c r="AE24" s="42">
        <f t="shared" si="31"/>
        <v>9517.2851527809762</v>
      </c>
      <c r="AF24" s="42">
        <f t="shared" si="31"/>
        <v>9406.3643504250231</v>
      </c>
      <c r="AG24" s="42">
        <f t="shared" si="31"/>
        <v>9406.3643504250231</v>
      </c>
      <c r="AH24" s="42">
        <f t="shared" si="31"/>
        <v>9406.3643504250231</v>
      </c>
      <c r="AI24" s="42">
        <f t="shared" si="31"/>
        <v>9406.3643504250231</v>
      </c>
      <c r="AJ24" s="42">
        <f t="shared" si="31"/>
        <v>9406.3643504250231</v>
      </c>
      <c r="AK24" s="42">
        <f t="shared" si="31"/>
        <v>9406.3643504250231</v>
      </c>
      <c r="AL24" s="42">
        <f t="shared" si="31"/>
        <v>9406.3643504250231</v>
      </c>
      <c r="AM24" s="42">
        <f t="shared" si="31"/>
        <v>9795.7492045072522</v>
      </c>
      <c r="AN24" s="42">
        <f t="shared" si="31"/>
        <v>9795.7492045072522</v>
      </c>
      <c r="AO24" s="42">
        <f t="shared" si="31"/>
        <v>9795.7492045072522</v>
      </c>
      <c r="AP24" s="43">
        <f t="shared" si="2"/>
        <v>39479.176625391236</v>
      </c>
      <c r="AQ24" s="43">
        <f t="shared" si="3"/>
        <v>109036.19652175123</v>
      </c>
      <c r="AR24" s="43">
        <f t="shared" si="4"/>
        <v>114266.36837205887</v>
      </c>
      <c r="AS24" s="44">
        <f t="shared" si="5"/>
        <v>262781.74151920131</v>
      </c>
      <c r="AT24" s="43">
        <f t="shared" si="27"/>
        <v>3289.9313854492698</v>
      </c>
      <c r="AU24" s="43">
        <f t="shared" si="27"/>
        <v>9086.3497101459361</v>
      </c>
      <c r="AV24" s="43">
        <f t="shared" si="27"/>
        <v>9522.1973643382389</v>
      </c>
      <c r="AW24" s="44">
        <f t="shared" si="7"/>
        <v>21898.478459933445</v>
      </c>
    </row>
    <row r="25" spans="1:49" ht="13.5" customHeight="1" x14ac:dyDescent="0.3">
      <c r="A25" s="29"/>
      <c r="B25" s="10"/>
      <c r="C25" s="39" t="s">
        <v>30</v>
      </c>
      <c r="D25" s="40"/>
      <c r="E25" s="49">
        <v>0.02</v>
      </c>
      <c r="F25" s="42">
        <f t="shared" ref="F25:AO25" si="32">F3*$E$25</f>
        <v>970</v>
      </c>
      <c r="G25" s="42">
        <f t="shared" si="32"/>
        <v>1294</v>
      </c>
      <c r="H25" s="42">
        <f t="shared" si="32"/>
        <v>1449.7</v>
      </c>
      <c r="I25" s="42">
        <f t="shared" si="32"/>
        <v>1654.6860000000001</v>
      </c>
      <c r="J25" s="42">
        <f t="shared" si="32"/>
        <v>1683.4854600000001</v>
      </c>
      <c r="K25" s="42">
        <f t="shared" si="32"/>
        <v>1714.3044245999999</v>
      </c>
      <c r="L25" s="42">
        <f t="shared" si="32"/>
        <v>1747.3362398460004</v>
      </c>
      <c r="M25" s="42">
        <f t="shared" si="32"/>
        <v>2289.0435003444604</v>
      </c>
      <c r="N25" s="42">
        <f t="shared" si="32"/>
        <v>2428.4099732579048</v>
      </c>
      <c r="O25" s="42">
        <f t="shared" si="32"/>
        <v>2580.8177146914845</v>
      </c>
      <c r="P25" s="42">
        <f t="shared" si="32"/>
        <v>4095.1993977094994</v>
      </c>
      <c r="Q25" s="42">
        <f t="shared" si="32"/>
        <v>4412.4683731448058</v>
      </c>
      <c r="R25" s="42">
        <f t="shared" si="32"/>
        <v>4982.5222805634703</v>
      </c>
      <c r="S25" s="42">
        <f t="shared" si="32"/>
        <v>5372.5897527219786</v>
      </c>
      <c r="T25" s="42">
        <f t="shared" si="32"/>
        <v>5801.6639720963349</v>
      </c>
      <c r="U25" s="42">
        <f t="shared" si="32"/>
        <v>6273.64561340813</v>
      </c>
      <c r="V25" s="42">
        <f t="shared" si="32"/>
        <v>6273.64561340813</v>
      </c>
      <c r="W25" s="42">
        <f t="shared" si="32"/>
        <v>6273.64561340813</v>
      </c>
      <c r="X25" s="42">
        <f t="shared" si="32"/>
        <v>6273.64561340813</v>
      </c>
      <c r="Y25" s="42">
        <f t="shared" si="32"/>
        <v>6273.64561340813</v>
      </c>
      <c r="Z25" s="42">
        <f t="shared" si="32"/>
        <v>6273.64561340813</v>
      </c>
      <c r="AA25" s="42">
        <f t="shared" si="32"/>
        <v>6273.64561340813</v>
      </c>
      <c r="AB25" s="42">
        <f t="shared" si="32"/>
        <v>6273.64561340813</v>
      </c>
      <c r="AC25" s="42">
        <f t="shared" si="32"/>
        <v>6344.8567685206517</v>
      </c>
      <c r="AD25" s="42">
        <f t="shared" si="32"/>
        <v>6344.8567685206517</v>
      </c>
      <c r="AE25" s="42">
        <f t="shared" si="32"/>
        <v>6344.8567685206517</v>
      </c>
      <c r="AF25" s="42">
        <f t="shared" si="32"/>
        <v>6270.9095669500157</v>
      </c>
      <c r="AG25" s="42">
        <f t="shared" si="32"/>
        <v>6270.9095669500157</v>
      </c>
      <c r="AH25" s="42">
        <f t="shared" si="32"/>
        <v>6270.9095669500157</v>
      </c>
      <c r="AI25" s="42">
        <f t="shared" si="32"/>
        <v>6270.9095669500157</v>
      </c>
      <c r="AJ25" s="42">
        <f t="shared" si="32"/>
        <v>6270.9095669500157</v>
      </c>
      <c r="AK25" s="42">
        <f t="shared" si="32"/>
        <v>6270.9095669500157</v>
      </c>
      <c r="AL25" s="42">
        <f t="shared" si="32"/>
        <v>6270.9095669500157</v>
      </c>
      <c r="AM25" s="42">
        <f t="shared" si="32"/>
        <v>6530.4994696715021</v>
      </c>
      <c r="AN25" s="42">
        <f t="shared" si="32"/>
        <v>6530.4994696715021</v>
      </c>
      <c r="AO25" s="42">
        <f t="shared" si="32"/>
        <v>6530.4994696715021</v>
      </c>
      <c r="AP25" s="43">
        <f t="shared" si="2"/>
        <v>26319.451083594158</v>
      </c>
      <c r="AQ25" s="43">
        <f t="shared" si="3"/>
        <v>72690.797681167474</v>
      </c>
      <c r="AR25" s="43">
        <f t="shared" si="4"/>
        <v>76177.578914705926</v>
      </c>
      <c r="AS25" s="44">
        <f t="shared" si="5"/>
        <v>175187.82767946756</v>
      </c>
      <c r="AT25" s="43">
        <f t="shared" si="27"/>
        <v>2193.2875902995133</v>
      </c>
      <c r="AU25" s="43">
        <f t="shared" si="27"/>
        <v>6057.5664734306229</v>
      </c>
      <c r="AV25" s="43">
        <f t="shared" si="27"/>
        <v>6348.1315762254935</v>
      </c>
      <c r="AW25" s="44">
        <f t="shared" si="7"/>
        <v>14598.98563995563</v>
      </c>
    </row>
    <row r="26" spans="1:49" ht="13.5" customHeight="1" x14ac:dyDescent="0.3">
      <c r="A26" s="9"/>
      <c r="B26" s="187" t="s">
        <v>31</v>
      </c>
      <c r="C26" s="188"/>
      <c r="D26" s="189"/>
      <c r="E26" s="190"/>
      <c r="F26" s="191">
        <f t="shared" ref="F26:AO26" si="33">F13-F14</f>
        <v>-9350.25</v>
      </c>
      <c r="G26" s="191">
        <f t="shared" si="33"/>
        <v>-6581.5500000000029</v>
      </c>
      <c r="H26" s="191">
        <f t="shared" si="33"/>
        <v>-5248.4025000000038</v>
      </c>
      <c r="I26" s="191">
        <f t="shared" si="33"/>
        <v>-3472.595949999999</v>
      </c>
      <c r="J26" s="191">
        <f t="shared" si="33"/>
        <v>-3323.7949045000059</v>
      </c>
      <c r="K26" s="191">
        <f t="shared" si="33"/>
        <v>-3168.0083042950027</v>
      </c>
      <c r="L26" s="191">
        <f t="shared" si="33"/>
        <v>-3004.616539412953</v>
      </c>
      <c r="M26" s="191">
        <f t="shared" si="33"/>
        <v>1811.9049216604217</v>
      </c>
      <c r="N26" s="191">
        <f t="shared" si="33"/>
        <v>2921.5853912412713</v>
      </c>
      <c r="O26" s="191">
        <f t="shared" si="33"/>
        <v>4134.0188075543629</v>
      </c>
      <c r="P26" s="191">
        <f t="shared" si="33"/>
        <v>17252.572828488526</v>
      </c>
      <c r="Q26" s="191">
        <f t="shared" si="33"/>
        <v>19700.615736809574</v>
      </c>
      <c r="R26" s="191">
        <f t="shared" si="33"/>
        <v>23004.783209236848</v>
      </c>
      <c r="S26" s="191">
        <f t="shared" si="33"/>
        <v>26005.304961721245</v>
      </c>
      <c r="T26" s="191">
        <f t="shared" si="33"/>
        <v>29305.878889454034</v>
      </c>
      <c r="U26" s="191">
        <f t="shared" si="33"/>
        <v>32936.51020996015</v>
      </c>
      <c r="V26" s="191">
        <f t="shared" si="33"/>
        <v>32936.51020996015</v>
      </c>
      <c r="W26" s="191">
        <f t="shared" si="33"/>
        <v>32936.51020996015</v>
      </c>
      <c r="X26" s="191">
        <f t="shared" si="33"/>
        <v>32936.51020996015</v>
      </c>
      <c r="Y26" s="191">
        <f t="shared" si="33"/>
        <v>32936.51020996015</v>
      </c>
      <c r="Z26" s="191">
        <f t="shared" si="33"/>
        <v>32936.51020996015</v>
      </c>
      <c r="AA26" s="191">
        <f t="shared" si="33"/>
        <v>32936.51020996015</v>
      </c>
      <c r="AB26" s="191">
        <f t="shared" si="33"/>
        <v>32936.51020996015</v>
      </c>
      <c r="AC26" s="191">
        <f t="shared" si="33"/>
        <v>33054.964191783161</v>
      </c>
      <c r="AD26" s="191">
        <f t="shared" si="33"/>
        <v>32174.964191783161</v>
      </c>
      <c r="AE26" s="191">
        <f t="shared" si="33"/>
        <v>32174.964191783161</v>
      </c>
      <c r="AF26" s="191">
        <f t="shared" si="33"/>
        <v>32051.959018550573</v>
      </c>
      <c r="AG26" s="191">
        <f t="shared" si="33"/>
        <v>32051.959018550573</v>
      </c>
      <c r="AH26" s="191">
        <f t="shared" si="33"/>
        <v>32051.959018550573</v>
      </c>
      <c r="AI26" s="191">
        <f t="shared" si="33"/>
        <v>32051.959018550573</v>
      </c>
      <c r="AJ26" s="191">
        <f t="shared" si="33"/>
        <v>32051.959018550573</v>
      </c>
      <c r="AK26" s="191">
        <f t="shared" si="33"/>
        <v>32051.959018550573</v>
      </c>
      <c r="AL26" s="191">
        <f t="shared" si="33"/>
        <v>32051.959018550573</v>
      </c>
      <c r="AM26" s="191">
        <f t="shared" si="33"/>
        <v>34048.806244828906</v>
      </c>
      <c r="AN26" s="191">
        <f t="shared" si="33"/>
        <v>34048.806244828906</v>
      </c>
      <c r="AO26" s="191">
        <f t="shared" si="33"/>
        <v>34048.806244828906</v>
      </c>
      <c r="AP26" s="15">
        <f t="shared" si="2"/>
        <v>11671.479487546192</v>
      </c>
      <c r="AQ26" s="15">
        <f t="shared" si="3"/>
        <v>374863.01293187658</v>
      </c>
      <c r="AR26" s="15">
        <f t="shared" si="4"/>
        <v>390860.06024790712</v>
      </c>
      <c r="AS26" s="16">
        <f t="shared" si="5"/>
        <v>777394.5526673299</v>
      </c>
      <c r="AT26" s="15">
        <f t="shared" si="27"/>
        <v>972.6232906288493</v>
      </c>
      <c r="AU26" s="15">
        <f t="shared" si="27"/>
        <v>31238.584410989715</v>
      </c>
      <c r="AV26" s="15">
        <f t="shared" si="27"/>
        <v>32571.671687325594</v>
      </c>
      <c r="AW26" s="16">
        <f t="shared" si="7"/>
        <v>64782.879388944159</v>
      </c>
    </row>
    <row r="27" spans="1:49" ht="13.5" hidden="1" customHeight="1" x14ac:dyDescent="0.3">
      <c r="A27" s="29"/>
      <c r="B27" s="183"/>
      <c r="C27" s="184" t="s">
        <v>32</v>
      </c>
      <c r="D27" s="185"/>
      <c r="E27" s="186"/>
      <c r="F27" s="20">
        <f t="shared" ref="F27:AO27" si="34">IF(F26&lt;0,0,(F3*8%)*25%)</f>
        <v>0</v>
      </c>
      <c r="G27" s="20">
        <f t="shared" si="34"/>
        <v>0</v>
      </c>
      <c r="H27" s="20">
        <f t="shared" si="34"/>
        <v>0</v>
      </c>
      <c r="I27" s="20">
        <f t="shared" si="34"/>
        <v>0</v>
      </c>
      <c r="J27" s="20">
        <f t="shared" si="34"/>
        <v>0</v>
      </c>
      <c r="K27" s="20">
        <f t="shared" si="34"/>
        <v>0</v>
      </c>
      <c r="L27" s="20">
        <f t="shared" si="34"/>
        <v>0</v>
      </c>
      <c r="M27" s="20">
        <f t="shared" si="34"/>
        <v>2289.0435003444604</v>
      </c>
      <c r="N27" s="20">
        <f t="shared" si="34"/>
        <v>2428.4099732579048</v>
      </c>
      <c r="O27" s="20">
        <f t="shared" si="34"/>
        <v>2580.8177146914845</v>
      </c>
      <c r="P27" s="20">
        <f t="shared" si="34"/>
        <v>4095.1993977094994</v>
      </c>
      <c r="Q27" s="20">
        <f t="shared" si="34"/>
        <v>4412.4683731448058</v>
      </c>
      <c r="R27" s="20">
        <f t="shared" si="34"/>
        <v>4982.5222805634703</v>
      </c>
      <c r="S27" s="20">
        <f t="shared" si="34"/>
        <v>5372.5897527219786</v>
      </c>
      <c r="T27" s="20">
        <f t="shared" si="34"/>
        <v>5801.6639720963349</v>
      </c>
      <c r="U27" s="20">
        <f t="shared" si="34"/>
        <v>6273.64561340813</v>
      </c>
      <c r="V27" s="20">
        <f t="shared" si="34"/>
        <v>6273.64561340813</v>
      </c>
      <c r="W27" s="20">
        <f t="shared" si="34"/>
        <v>6273.64561340813</v>
      </c>
      <c r="X27" s="20">
        <f t="shared" si="34"/>
        <v>6273.64561340813</v>
      </c>
      <c r="Y27" s="20">
        <f t="shared" si="34"/>
        <v>6273.64561340813</v>
      </c>
      <c r="Z27" s="20">
        <f t="shared" si="34"/>
        <v>6273.64561340813</v>
      </c>
      <c r="AA27" s="20">
        <f t="shared" si="34"/>
        <v>6273.64561340813</v>
      </c>
      <c r="AB27" s="20">
        <f t="shared" si="34"/>
        <v>6273.64561340813</v>
      </c>
      <c r="AC27" s="20">
        <f t="shared" si="34"/>
        <v>6344.8567685206517</v>
      </c>
      <c r="AD27" s="20">
        <f t="shared" si="34"/>
        <v>6344.8567685206517</v>
      </c>
      <c r="AE27" s="20">
        <f t="shared" si="34"/>
        <v>6344.8567685206517</v>
      </c>
      <c r="AF27" s="20">
        <f t="shared" si="34"/>
        <v>6270.9095669500157</v>
      </c>
      <c r="AG27" s="20">
        <f t="shared" si="34"/>
        <v>6270.9095669500157</v>
      </c>
      <c r="AH27" s="20">
        <f t="shared" si="34"/>
        <v>6270.9095669500157</v>
      </c>
      <c r="AI27" s="20">
        <f t="shared" si="34"/>
        <v>6270.9095669500157</v>
      </c>
      <c r="AJ27" s="20">
        <f t="shared" si="34"/>
        <v>6270.9095669500157</v>
      </c>
      <c r="AK27" s="20">
        <f t="shared" si="34"/>
        <v>6270.9095669500157</v>
      </c>
      <c r="AL27" s="20">
        <f t="shared" si="34"/>
        <v>6270.9095669500157</v>
      </c>
      <c r="AM27" s="20">
        <f t="shared" si="34"/>
        <v>6530.4994696715021</v>
      </c>
      <c r="AN27" s="20">
        <f t="shared" si="34"/>
        <v>6530.4994696715021</v>
      </c>
      <c r="AO27" s="20">
        <f t="shared" si="34"/>
        <v>6530.4994696715021</v>
      </c>
      <c r="AP27" s="20">
        <f t="shared" ref="AP27:AR27" si="35">(AP3*8%)*25%</f>
        <v>26319.451083594151</v>
      </c>
      <c r="AQ27" s="20">
        <f t="shared" si="35"/>
        <v>72690.79768116746</v>
      </c>
      <c r="AR27" s="20">
        <f t="shared" si="35"/>
        <v>76177.578914705911</v>
      </c>
      <c r="AS27" s="22">
        <f t="shared" si="5"/>
        <v>175187.8276794675</v>
      </c>
      <c r="AT27" s="20">
        <f t="shared" si="27"/>
        <v>2193.2875902995124</v>
      </c>
      <c r="AU27" s="20">
        <f t="shared" si="27"/>
        <v>6057.566473430622</v>
      </c>
      <c r="AV27" s="20">
        <f t="shared" si="27"/>
        <v>6348.1315762254926</v>
      </c>
      <c r="AW27" s="22">
        <f t="shared" si="7"/>
        <v>14598.985639955627</v>
      </c>
    </row>
    <row r="28" spans="1:49" ht="13.5" hidden="1" customHeight="1" x14ac:dyDescent="0.3">
      <c r="A28" s="29"/>
      <c r="B28" s="26"/>
      <c r="C28" s="17" t="s">
        <v>33</v>
      </c>
      <c r="D28" s="50"/>
      <c r="E28" s="51"/>
      <c r="F28" s="20">
        <f t="shared" ref="F28:AO28" si="36">IF(F26&lt;0,0,(F3*9%)*12%)</f>
        <v>0</v>
      </c>
      <c r="G28" s="20">
        <f t="shared" si="36"/>
        <v>0</v>
      </c>
      <c r="H28" s="20">
        <f t="shared" si="36"/>
        <v>0</v>
      </c>
      <c r="I28" s="20">
        <f t="shared" si="36"/>
        <v>0</v>
      </c>
      <c r="J28" s="20">
        <f t="shared" si="36"/>
        <v>0</v>
      </c>
      <c r="K28" s="20">
        <f t="shared" si="36"/>
        <v>0</v>
      </c>
      <c r="L28" s="20">
        <f t="shared" si="36"/>
        <v>0</v>
      </c>
      <c r="M28" s="20">
        <f t="shared" si="36"/>
        <v>1236.0834901860085</v>
      </c>
      <c r="N28" s="20">
        <f t="shared" si="36"/>
        <v>1311.3413855592685</v>
      </c>
      <c r="O28" s="20">
        <f t="shared" si="36"/>
        <v>1393.6415659334014</v>
      </c>
      <c r="P28" s="20">
        <f t="shared" si="36"/>
        <v>2211.4076747631298</v>
      </c>
      <c r="Q28" s="20">
        <f t="shared" si="36"/>
        <v>2382.7329214981946</v>
      </c>
      <c r="R28" s="20">
        <f t="shared" si="36"/>
        <v>2690.5620315042738</v>
      </c>
      <c r="S28" s="20">
        <f t="shared" si="36"/>
        <v>2901.1984664698684</v>
      </c>
      <c r="T28" s="20">
        <f t="shared" si="36"/>
        <v>3132.8985449320207</v>
      </c>
      <c r="U28" s="20">
        <f t="shared" si="36"/>
        <v>3387.7686312403898</v>
      </c>
      <c r="V28" s="20">
        <f t="shared" si="36"/>
        <v>3387.7686312403898</v>
      </c>
      <c r="W28" s="20">
        <f t="shared" si="36"/>
        <v>3387.7686312403898</v>
      </c>
      <c r="X28" s="20">
        <f t="shared" si="36"/>
        <v>3387.7686312403898</v>
      </c>
      <c r="Y28" s="20">
        <f t="shared" si="36"/>
        <v>3387.7686312403898</v>
      </c>
      <c r="Z28" s="20">
        <f t="shared" si="36"/>
        <v>3387.7686312403898</v>
      </c>
      <c r="AA28" s="20">
        <f t="shared" si="36"/>
        <v>3387.7686312403898</v>
      </c>
      <c r="AB28" s="20">
        <f t="shared" si="36"/>
        <v>3387.7686312403898</v>
      </c>
      <c r="AC28" s="20">
        <f t="shared" si="36"/>
        <v>3426.2226550011515</v>
      </c>
      <c r="AD28" s="20">
        <f t="shared" si="36"/>
        <v>3426.2226550011515</v>
      </c>
      <c r="AE28" s="20">
        <f t="shared" si="36"/>
        <v>3426.2226550011515</v>
      </c>
      <c r="AF28" s="20">
        <f t="shared" si="36"/>
        <v>3386.2911661530084</v>
      </c>
      <c r="AG28" s="20">
        <f t="shared" si="36"/>
        <v>3386.2911661530084</v>
      </c>
      <c r="AH28" s="20">
        <f t="shared" si="36"/>
        <v>3386.2911661530084</v>
      </c>
      <c r="AI28" s="20">
        <f t="shared" si="36"/>
        <v>3386.2911661530084</v>
      </c>
      <c r="AJ28" s="20">
        <f t="shared" si="36"/>
        <v>3386.2911661530084</v>
      </c>
      <c r="AK28" s="20">
        <f t="shared" si="36"/>
        <v>3386.2911661530084</v>
      </c>
      <c r="AL28" s="20">
        <f t="shared" si="36"/>
        <v>3386.2911661530084</v>
      </c>
      <c r="AM28" s="20">
        <f t="shared" si="36"/>
        <v>3526.4697136226109</v>
      </c>
      <c r="AN28" s="20">
        <f t="shared" si="36"/>
        <v>3526.4697136226109</v>
      </c>
      <c r="AO28" s="20">
        <f t="shared" si="36"/>
        <v>3526.4697136226109</v>
      </c>
      <c r="AP28" s="20">
        <f t="shared" ref="AP28:AR28" si="37">(AP3*9%)*12%</f>
        <v>14212.503585140841</v>
      </c>
      <c r="AQ28" s="20">
        <f t="shared" si="37"/>
        <v>39253.030747830431</v>
      </c>
      <c r="AR28" s="20">
        <f t="shared" si="37"/>
        <v>41135.892613941192</v>
      </c>
      <c r="AS28" s="22">
        <f t="shared" si="5"/>
        <v>94601.426946912456</v>
      </c>
      <c r="AT28" s="20">
        <f t="shared" si="27"/>
        <v>1184.3752987617368</v>
      </c>
      <c r="AU28" s="20">
        <f t="shared" si="27"/>
        <v>3271.0858956525358</v>
      </c>
      <c r="AV28" s="20">
        <f t="shared" si="27"/>
        <v>3427.9910511617659</v>
      </c>
      <c r="AW28" s="22">
        <f t="shared" si="7"/>
        <v>7883.452245576038</v>
      </c>
    </row>
    <row r="29" spans="1:49" ht="13.5" hidden="1" customHeight="1" x14ac:dyDescent="0.3">
      <c r="A29" s="1"/>
      <c r="B29" s="52" t="s">
        <v>34</v>
      </c>
      <c r="C29" s="53"/>
      <c r="D29" s="54"/>
      <c r="E29" s="7"/>
      <c r="F29" s="55">
        <f t="shared" ref="F29:AW29" si="38">F26-F27-F28</f>
        <v>-9350.25</v>
      </c>
      <c r="G29" s="55">
        <f t="shared" si="38"/>
        <v>-6581.5500000000029</v>
      </c>
      <c r="H29" s="55">
        <f t="shared" si="38"/>
        <v>-5248.4025000000038</v>
      </c>
      <c r="I29" s="55">
        <f t="shared" si="38"/>
        <v>-3472.595949999999</v>
      </c>
      <c r="J29" s="55">
        <f t="shared" si="38"/>
        <v>-3323.7949045000059</v>
      </c>
      <c r="K29" s="55">
        <f t="shared" si="38"/>
        <v>-3168.0083042950027</v>
      </c>
      <c r="L29" s="55">
        <f t="shared" si="38"/>
        <v>-3004.616539412953</v>
      </c>
      <c r="M29" s="55">
        <f t="shared" si="38"/>
        <v>-1713.2220688700472</v>
      </c>
      <c r="N29" s="55">
        <f t="shared" si="38"/>
        <v>-818.16596757590196</v>
      </c>
      <c r="O29" s="55">
        <f t="shared" si="38"/>
        <v>159.55952692947699</v>
      </c>
      <c r="P29" s="55">
        <f t="shared" si="38"/>
        <v>10945.965756015898</v>
      </c>
      <c r="Q29" s="55">
        <f t="shared" si="38"/>
        <v>12905.414442166573</v>
      </c>
      <c r="R29" s="55">
        <f t="shared" si="38"/>
        <v>15331.698897169104</v>
      </c>
      <c r="S29" s="55">
        <f t="shared" si="38"/>
        <v>17731.516742529398</v>
      </c>
      <c r="T29" s="55">
        <f t="shared" si="38"/>
        <v>20371.316372425677</v>
      </c>
      <c r="U29" s="55">
        <f t="shared" si="38"/>
        <v>23275.09596531163</v>
      </c>
      <c r="V29" s="55">
        <f t="shared" si="38"/>
        <v>23275.09596531163</v>
      </c>
      <c r="W29" s="55">
        <f t="shared" si="38"/>
        <v>23275.09596531163</v>
      </c>
      <c r="X29" s="55">
        <f t="shared" si="38"/>
        <v>23275.09596531163</v>
      </c>
      <c r="Y29" s="55">
        <f t="shared" si="38"/>
        <v>23275.09596531163</v>
      </c>
      <c r="Z29" s="55">
        <f t="shared" si="38"/>
        <v>23275.09596531163</v>
      </c>
      <c r="AA29" s="55">
        <f t="shared" si="38"/>
        <v>23275.09596531163</v>
      </c>
      <c r="AB29" s="55">
        <f t="shared" si="38"/>
        <v>23275.09596531163</v>
      </c>
      <c r="AC29" s="55">
        <f t="shared" si="38"/>
        <v>23283.88476826136</v>
      </c>
      <c r="AD29" s="55">
        <f t="shared" si="38"/>
        <v>22403.88476826136</v>
      </c>
      <c r="AE29" s="55">
        <f t="shared" si="38"/>
        <v>22403.88476826136</v>
      </c>
      <c r="AF29" s="55">
        <f t="shared" si="38"/>
        <v>22394.758285447548</v>
      </c>
      <c r="AG29" s="55">
        <f t="shared" si="38"/>
        <v>22394.758285447548</v>
      </c>
      <c r="AH29" s="55">
        <f t="shared" si="38"/>
        <v>22394.758285447548</v>
      </c>
      <c r="AI29" s="55">
        <f t="shared" si="38"/>
        <v>22394.758285447548</v>
      </c>
      <c r="AJ29" s="55">
        <f t="shared" si="38"/>
        <v>22394.758285447548</v>
      </c>
      <c r="AK29" s="55">
        <f t="shared" si="38"/>
        <v>22394.758285447548</v>
      </c>
      <c r="AL29" s="55">
        <f t="shared" si="38"/>
        <v>22394.758285447548</v>
      </c>
      <c r="AM29" s="55">
        <f t="shared" si="38"/>
        <v>23991.837061534796</v>
      </c>
      <c r="AN29" s="55">
        <f t="shared" si="38"/>
        <v>23991.837061534796</v>
      </c>
      <c r="AO29" s="55">
        <f t="shared" si="38"/>
        <v>23991.837061534796</v>
      </c>
      <c r="AP29" s="55">
        <f t="shared" si="38"/>
        <v>-28860.475181188798</v>
      </c>
      <c r="AQ29" s="55">
        <f t="shared" si="38"/>
        <v>262919.18450287869</v>
      </c>
      <c r="AR29" s="55">
        <f t="shared" si="38"/>
        <v>273546.58871926006</v>
      </c>
      <c r="AS29" s="56">
        <f t="shared" si="38"/>
        <v>507605.29804094997</v>
      </c>
      <c r="AT29" s="55">
        <f t="shared" si="38"/>
        <v>-2405.0395984324</v>
      </c>
      <c r="AU29" s="55">
        <f t="shared" si="38"/>
        <v>21909.932041906555</v>
      </c>
      <c r="AV29" s="55">
        <f t="shared" si="38"/>
        <v>22795.549059938334</v>
      </c>
      <c r="AW29" s="56">
        <f t="shared" si="38"/>
        <v>42300.44150341249</v>
      </c>
    </row>
    <row r="30" spans="1:49" ht="13.5" hidden="1" customHeight="1" x14ac:dyDescent="0.3">
      <c r="A30" s="57"/>
      <c r="B30" s="58" t="s">
        <v>35</v>
      </c>
      <c r="C30" s="59"/>
      <c r="D30" s="60"/>
      <c r="E30" s="61"/>
      <c r="F30" s="62">
        <f t="shared" ref="F30:AR30" si="39">F29/F3%</f>
        <v>-19.278865979381443</v>
      </c>
      <c r="G30" s="62">
        <f t="shared" si="39"/>
        <v>-10.172411128284393</v>
      </c>
      <c r="H30" s="62">
        <f t="shared" si="39"/>
        <v>-7.2406739325377716</v>
      </c>
      <c r="I30" s="62">
        <f t="shared" si="39"/>
        <v>-4.1972869172761467</v>
      </c>
      <c r="J30" s="62">
        <f t="shared" si="39"/>
        <v>-3.9487063992818872</v>
      </c>
      <c r="K30" s="62">
        <f t="shared" si="39"/>
        <v>-3.695969349241103</v>
      </c>
      <c r="L30" s="62">
        <f t="shared" si="39"/>
        <v>-3.4390822680788236</v>
      </c>
      <c r="M30" s="62">
        <f t="shared" si="39"/>
        <v>-1.4968890443648084</v>
      </c>
      <c r="N30" s="62">
        <f t="shared" si="39"/>
        <v>-0.67382853520261854</v>
      </c>
      <c r="O30" s="62">
        <f t="shared" si="39"/>
        <v>0.12365036555753109</v>
      </c>
      <c r="P30" s="62">
        <f t="shared" si="39"/>
        <v>5.3457547205824092</v>
      </c>
      <c r="Q30" s="62">
        <f t="shared" si="39"/>
        <v>5.8495215606355808</v>
      </c>
      <c r="R30" s="62">
        <f t="shared" si="39"/>
        <v>6.1541918064178738</v>
      </c>
      <c r="S30" s="62">
        <f t="shared" si="39"/>
        <v>6.6007335600288002</v>
      </c>
      <c r="T30" s="62">
        <f t="shared" si="39"/>
        <v>7.022577133182307</v>
      </c>
      <c r="U30" s="62">
        <f t="shared" si="39"/>
        <v>7.4199587925616157</v>
      </c>
      <c r="V30" s="62">
        <f t="shared" si="39"/>
        <v>7.4199587925616157</v>
      </c>
      <c r="W30" s="62">
        <f t="shared" si="39"/>
        <v>7.4199587925616157</v>
      </c>
      <c r="X30" s="62">
        <f t="shared" si="39"/>
        <v>7.4199587925616157</v>
      </c>
      <c r="Y30" s="62">
        <f t="shared" si="39"/>
        <v>7.4199587925616157</v>
      </c>
      <c r="Z30" s="62">
        <f t="shared" si="39"/>
        <v>7.4199587925616157</v>
      </c>
      <c r="AA30" s="62">
        <f t="shared" si="39"/>
        <v>7.4199587925616157</v>
      </c>
      <c r="AB30" s="62">
        <f t="shared" si="39"/>
        <v>7.4199587925616157</v>
      </c>
      <c r="AC30" s="62">
        <f t="shared" si="39"/>
        <v>7.3394516591081889</v>
      </c>
      <c r="AD30" s="62">
        <f t="shared" si="39"/>
        <v>7.0620616305842896</v>
      </c>
      <c r="AE30" s="62">
        <f t="shared" si="39"/>
        <v>7.0620616305842896</v>
      </c>
      <c r="AF30" s="62">
        <f t="shared" si="39"/>
        <v>7.1424274409811632</v>
      </c>
      <c r="AG30" s="62">
        <f t="shared" si="39"/>
        <v>7.1424274409811632</v>
      </c>
      <c r="AH30" s="62">
        <f t="shared" si="39"/>
        <v>7.1424274409811632</v>
      </c>
      <c r="AI30" s="62">
        <f t="shared" si="39"/>
        <v>7.1424274409811632</v>
      </c>
      <c r="AJ30" s="62">
        <f t="shared" si="39"/>
        <v>7.1424274409811632</v>
      </c>
      <c r="AK30" s="62">
        <f t="shared" si="39"/>
        <v>7.1424274409811632</v>
      </c>
      <c r="AL30" s="62">
        <f t="shared" si="39"/>
        <v>7.1424274409811632</v>
      </c>
      <c r="AM30" s="62">
        <f t="shared" si="39"/>
        <v>7.3476269841092678</v>
      </c>
      <c r="AN30" s="62">
        <f t="shared" si="39"/>
        <v>7.3476269841092678</v>
      </c>
      <c r="AO30" s="62">
        <f t="shared" si="39"/>
        <v>7.3476269841092678</v>
      </c>
      <c r="AP30" s="62">
        <f t="shared" si="39"/>
        <v>-2.1930909645132042</v>
      </c>
      <c r="AQ30" s="62">
        <f t="shared" si="39"/>
        <v>7.2339056081371105</v>
      </c>
      <c r="AR30" s="62">
        <f t="shared" si="39"/>
        <v>7.1818136679177789</v>
      </c>
      <c r="AS30" s="63">
        <f t="shared" ref="AS30:AW30" si="40">AS29/AS4%</f>
        <v>26.961089681330485</v>
      </c>
      <c r="AT30" s="62">
        <f t="shared" si="40"/>
        <v>-5.017449105294288</v>
      </c>
      <c r="AU30" s="62">
        <f t="shared" si="40"/>
        <v>40.283688513101758</v>
      </c>
      <c r="AV30" s="62">
        <f t="shared" si="40"/>
        <v>41.77166246445956</v>
      </c>
      <c r="AW30" s="63">
        <f t="shared" si="40"/>
        <v>26.961089681330481</v>
      </c>
    </row>
    <row r="31" spans="1:49" ht="15.75" customHeight="1" thickBot="1" x14ac:dyDescent="0.35">
      <c r="A31" s="1"/>
      <c r="B31" s="1"/>
      <c r="C31" s="1"/>
      <c r="D31" s="1"/>
      <c r="E31" s="64"/>
      <c r="F31" s="6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t="16.5" customHeight="1" x14ac:dyDescent="0.25">
      <c r="A32" s="65"/>
      <c r="B32" s="65"/>
      <c r="C32" s="66" t="s">
        <v>36</v>
      </c>
      <c r="D32" s="67"/>
      <c r="E32" s="68"/>
      <c r="F32" s="69">
        <v>5</v>
      </c>
      <c r="G32" s="69">
        <f t="shared" ref="G32:AO32" si="41">F32*(1+G33)</f>
        <v>6.5</v>
      </c>
      <c r="H32" s="69">
        <f t="shared" si="41"/>
        <v>6.6950000000000003</v>
      </c>
      <c r="I32" s="69">
        <f t="shared" si="41"/>
        <v>6.8289</v>
      </c>
      <c r="J32" s="69">
        <f t="shared" si="41"/>
        <v>6.897189</v>
      </c>
      <c r="K32" s="69">
        <f t="shared" si="41"/>
        <v>6.9661608900000003</v>
      </c>
      <c r="L32" s="69">
        <f t="shared" si="41"/>
        <v>7.0358224989</v>
      </c>
      <c r="M32" s="69">
        <f t="shared" si="41"/>
        <v>7.1061807238890005</v>
      </c>
      <c r="N32" s="69">
        <f t="shared" si="41"/>
        <v>7.1772425311278907</v>
      </c>
      <c r="O32" s="69">
        <f t="shared" si="41"/>
        <v>7.2490149564391695</v>
      </c>
      <c r="P32" s="69">
        <f t="shared" si="41"/>
        <v>7.3215051060035616</v>
      </c>
      <c r="Q32" s="69">
        <f t="shared" si="41"/>
        <v>7.3947201570635972</v>
      </c>
      <c r="R32" s="69">
        <f t="shared" si="41"/>
        <v>7.3947201570635972</v>
      </c>
      <c r="S32" s="69">
        <f t="shared" si="41"/>
        <v>7.3947201570635972</v>
      </c>
      <c r="T32" s="69">
        <f t="shared" si="41"/>
        <v>7.3947201570635972</v>
      </c>
      <c r="U32" s="69">
        <f t="shared" si="41"/>
        <v>7.3947201570635972</v>
      </c>
      <c r="V32" s="69">
        <f t="shared" si="41"/>
        <v>7.3947201570635972</v>
      </c>
      <c r="W32" s="69">
        <f t="shared" si="41"/>
        <v>7.3947201570635972</v>
      </c>
      <c r="X32" s="69">
        <f t="shared" si="41"/>
        <v>7.3947201570635972</v>
      </c>
      <c r="Y32" s="69">
        <f t="shared" si="41"/>
        <v>7.3947201570635972</v>
      </c>
      <c r="Z32" s="69">
        <f t="shared" si="41"/>
        <v>7.3947201570635972</v>
      </c>
      <c r="AA32" s="69">
        <f t="shared" si="41"/>
        <v>7.3947201570635972</v>
      </c>
      <c r="AB32" s="69">
        <f t="shared" si="41"/>
        <v>7.3947201570635972</v>
      </c>
      <c r="AC32" s="69">
        <f t="shared" si="41"/>
        <v>7.3947201570635972</v>
      </c>
      <c r="AD32" s="69">
        <f t="shared" si="41"/>
        <v>7.3947201570635972</v>
      </c>
      <c r="AE32" s="69">
        <f t="shared" si="41"/>
        <v>7.3947201570635972</v>
      </c>
      <c r="AF32" s="69">
        <f t="shared" si="41"/>
        <v>7.3947201570635972</v>
      </c>
      <c r="AG32" s="69">
        <f t="shared" si="41"/>
        <v>7.3947201570635972</v>
      </c>
      <c r="AH32" s="69">
        <f t="shared" si="41"/>
        <v>7.3947201570635972</v>
      </c>
      <c r="AI32" s="69">
        <f t="shared" si="41"/>
        <v>7.3947201570635972</v>
      </c>
      <c r="AJ32" s="69">
        <f t="shared" si="41"/>
        <v>7.3947201570635972</v>
      </c>
      <c r="AK32" s="69">
        <f t="shared" si="41"/>
        <v>7.3947201570635972</v>
      </c>
      <c r="AL32" s="69">
        <f t="shared" si="41"/>
        <v>7.3947201570635972</v>
      </c>
      <c r="AM32" s="69">
        <f t="shared" si="41"/>
        <v>7.3947201570635972</v>
      </c>
      <c r="AN32" s="69">
        <f t="shared" si="41"/>
        <v>7.3947201570635972</v>
      </c>
      <c r="AO32" s="70">
        <f t="shared" si="41"/>
        <v>7.3947201570635972</v>
      </c>
      <c r="AP32" s="71">
        <f t="shared" ref="AP32:AW32" si="42">AP3/AP18</f>
        <v>15.666339930710803</v>
      </c>
      <c r="AQ32" s="72">
        <f t="shared" si="42"/>
        <v>41.179221790456459</v>
      </c>
      <c r="AR32" s="73">
        <f t="shared" si="42"/>
        <v>43.009992837861013</v>
      </c>
      <c r="AS32" s="74">
        <f t="shared" si="42"/>
        <v>33.584112322787895</v>
      </c>
      <c r="AT32" s="71">
        <f t="shared" si="42"/>
        <v>15.666339930710805</v>
      </c>
      <c r="AU32" s="72">
        <f t="shared" si="42"/>
        <v>41.179221790456467</v>
      </c>
      <c r="AV32" s="73">
        <f t="shared" si="42"/>
        <v>43.00999283786102</v>
      </c>
      <c r="AW32" s="74">
        <f t="shared" si="42"/>
        <v>33.584112322787895</v>
      </c>
    </row>
    <row r="33" spans="1:49" ht="16.5" customHeight="1" x14ac:dyDescent="0.25">
      <c r="A33" s="75"/>
      <c r="B33" s="75"/>
      <c r="C33" s="76" t="s">
        <v>37</v>
      </c>
      <c r="D33" s="75"/>
      <c r="E33" s="75"/>
      <c r="F33" s="75"/>
      <c r="G33" s="77">
        <v>0.3</v>
      </c>
      <c r="H33" s="77">
        <v>0.03</v>
      </c>
      <c r="I33" s="77">
        <v>0.02</v>
      </c>
      <c r="J33" s="77">
        <v>0.01</v>
      </c>
      <c r="K33" s="77">
        <v>0.01</v>
      </c>
      <c r="L33" s="77">
        <v>0.01</v>
      </c>
      <c r="M33" s="77">
        <v>0.01</v>
      </c>
      <c r="N33" s="77">
        <v>0.01</v>
      </c>
      <c r="O33" s="77">
        <v>0.01</v>
      </c>
      <c r="P33" s="77">
        <v>0.01</v>
      </c>
      <c r="Q33" s="77">
        <v>0.01</v>
      </c>
      <c r="R33" s="77">
        <v>0</v>
      </c>
      <c r="S33" s="77">
        <v>0</v>
      </c>
      <c r="T33" s="77">
        <v>0</v>
      </c>
      <c r="U33" s="77">
        <v>0</v>
      </c>
      <c r="V33" s="77">
        <v>0</v>
      </c>
      <c r="W33" s="77">
        <v>0</v>
      </c>
      <c r="X33" s="77">
        <v>0</v>
      </c>
      <c r="Y33" s="77">
        <v>0</v>
      </c>
      <c r="Z33" s="77">
        <v>0</v>
      </c>
      <c r="AA33" s="77">
        <v>0</v>
      </c>
      <c r="AB33" s="77">
        <v>0</v>
      </c>
      <c r="AC33" s="77">
        <v>0</v>
      </c>
      <c r="AD33" s="77">
        <v>0</v>
      </c>
      <c r="AE33" s="77">
        <v>0</v>
      </c>
      <c r="AF33" s="77">
        <v>0</v>
      </c>
      <c r="AG33" s="77">
        <v>0</v>
      </c>
      <c r="AH33" s="77">
        <v>0</v>
      </c>
      <c r="AI33" s="77">
        <v>0</v>
      </c>
      <c r="AJ33" s="77">
        <v>0</v>
      </c>
      <c r="AK33" s="77">
        <v>0</v>
      </c>
      <c r="AL33" s="77">
        <v>0</v>
      </c>
      <c r="AM33" s="77">
        <v>0</v>
      </c>
      <c r="AN33" s="77">
        <v>0</v>
      </c>
      <c r="AO33" s="78">
        <v>0</v>
      </c>
      <c r="AP33" s="79"/>
      <c r="AQ33" s="80"/>
      <c r="AR33" s="81"/>
      <c r="AS33" s="82"/>
      <c r="AT33" s="79"/>
      <c r="AU33" s="80"/>
      <c r="AV33" s="81"/>
      <c r="AW33" s="82"/>
    </row>
    <row r="34" spans="1:49" ht="16.5" customHeight="1" thickBot="1" x14ac:dyDescent="0.3">
      <c r="A34" s="83"/>
      <c r="B34" s="83"/>
      <c r="C34" s="84" t="s">
        <v>38</v>
      </c>
      <c r="D34" s="85"/>
      <c r="E34" s="85"/>
      <c r="F34" s="85">
        <v>1500</v>
      </c>
      <c r="G34" s="85">
        <f>F34</f>
        <v>1500</v>
      </c>
      <c r="H34" s="85">
        <f t="shared" ref="H34:Q34" si="43">G34</f>
        <v>1500</v>
      </c>
      <c r="I34" s="85">
        <f t="shared" si="43"/>
        <v>1500</v>
      </c>
      <c r="J34" s="85">
        <f t="shared" si="43"/>
        <v>1500</v>
      </c>
      <c r="K34" s="85">
        <f t="shared" si="43"/>
        <v>1500</v>
      </c>
      <c r="L34" s="85">
        <f t="shared" si="43"/>
        <v>1500</v>
      </c>
      <c r="M34" s="85">
        <f t="shared" si="43"/>
        <v>1500</v>
      </c>
      <c r="N34" s="85">
        <f t="shared" si="43"/>
        <v>1500</v>
      </c>
      <c r="O34" s="85">
        <f t="shared" si="43"/>
        <v>1500</v>
      </c>
      <c r="P34" s="85">
        <f t="shared" si="43"/>
        <v>1500</v>
      </c>
      <c r="Q34" s="85">
        <f t="shared" si="43"/>
        <v>1500</v>
      </c>
      <c r="R34" s="85">
        <f>Q34*1.05</f>
        <v>1575</v>
      </c>
      <c r="S34" s="85">
        <f t="shared" ref="S34:AL34" si="44">R34</f>
        <v>1575</v>
      </c>
      <c r="T34" s="85">
        <f t="shared" si="44"/>
        <v>1575</v>
      </c>
      <c r="U34" s="85">
        <f t="shared" si="44"/>
        <v>1575</v>
      </c>
      <c r="V34" s="85">
        <f t="shared" si="44"/>
        <v>1575</v>
      </c>
      <c r="W34" s="85">
        <f t="shared" si="44"/>
        <v>1575</v>
      </c>
      <c r="X34" s="85">
        <f t="shared" si="44"/>
        <v>1575</v>
      </c>
      <c r="Y34" s="85">
        <f t="shared" si="44"/>
        <v>1575</v>
      </c>
      <c r="Z34" s="85">
        <f t="shared" si="44"/>
        <v>1575</v>
      </c>
      <c r="AA34" s="85">
        <f t="shared" si="44"/>
        <v>1575</v>
      </c>
      <c r="AB34" s="85">
        <f t="shared" si="44"/>
        <v>1575</v>
      </c>
      <c r="AC34" s="85">
        <f t="shared" si="44"/>
        <v>1575</v>
      </c>
      <c r="AD34" s="85">
        <f t="shared" si="44"/>
        <v>1575</v>
      </c>
      <c r="AE34" s="85">
        <f t="shared" si="44"/>
        <v>1575</v>
      </c>
      <c r="AF34" s="85">
        <f t="shared" si="44"/>
        <v>1575</v>
      </c>
      <c r="AG34" s="85">
        <f t="shared" si="44"/>
        <v>1575</v>
      </c>
      <c r="AH34" s="85">
        <f t="shared" si="44"/>
        <v>1575</v>
      </c>
      <c r="AI34" s="85">
        <f t="shared" si="44"/>
        <v>1575</v>
      </c>
      <c r="AJ34" s="85">
        <f t="shared" si="44"/>
        <v>1575</v>
      </c>
      <c r="AK34" s="85">
        <f t="shared" si="44"/>
        <v>1575</v>
      </c>
      <c r="AL34" s="85">
        <f t="shared" si="44"/>
        <v>1575</v>
      </c>
      <c r="AM34" s="85">
        <f>AL34*1.05</f>
        <v>1653.75</v>
      </c>
      <c r="AN34" s="85">
        <f t="shared" ref="AN34:AO34" si="45">AM34</f>
        <v>1653.75</v>
      </c>
      <c r="AO34" s="85">
        <f t="shared" si="45"/>
        <v>1653.75</v>
      </c>
      <c r="AP34" s="86">
        <f t="shared" ref="AP34:AW34" si="46">AP3/SUM(AP36,AP46)</f>
        <v>1355.931556759401</v>
      </c>
      <c r="AQ34" s="87">
        <f t="shared" si="46"/>
        <v>1431.5765449479777</v>
      </c>
      <c r="AR34" s="88">
        <f t="shared" si="46"/>
        <v>1448.1108228843275</v>
      </c>
      <c r="AS34" s="89">
        <f t="shared" si="46"/>
        <v>2412.6971959857542</v>
      </c>
      <c r="AT34" s="86">
        <f t="shared" si="46"/>
        <v>1355.9315567594008</v>
      </c>
      <c r="AU34" s="87">
        <f t="shared" si="46"/>
        <v>1431.5765449479777</v>
      </c>
      <c r="AV34" s="88">
        <f t="shared" si="46"/>
        <v>1448.1108228843277</v>
      </c>
      <c r="AW34" s="89">
        <f t="shared" si="46"/>
        <v>1426.7021895499333</v>
      </c>
    </row>
    <row r="35" spans="1:49" ht="9" customHeight="1" thickBot="1" x14ac:dyDescent="0.3">
      <c r="A35" s="90"/>
      <c r="B35" s="90"/>
      <c r="C35" s="90"/>
      <c r="D35" s="90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</row>
    <row r="36" spans="1:49" ht="16.5" customHeight="1" x14ac:dyDescent="0.25">
      <c r="A36" s="92"/>
      <c r="B36" s="92"/>
      <c r="C36" s="93" t="s">
        <v>39</v>
      </c>
      <c r="D36" s="94"/>
      <c r="E36" s="95"/>
      <c r="F36" s="96">
        <f>F4/F34</f>
        <v>23.333333333333332</v>
      </c>
      <c r="G36" s="96">
        <f t="shared" ref="G36:AO36" si="47">G3/G34</f>
        <v>43.133333333333333</v>
      </c>
      <c r="H36" s="96">
        <f t="shared" si="47"/>
        <v>48.323333333333331</v>
      </c>
      <c r="I36" s="96">
        <f t="shared" si="47"/>
        <v>55.156200000000005</v>
      </c>
      <c r="J36" s="96">
        <f t="shared" si="47"/>
        <v>56.116182000000002</v>
      </c>
      <c r="K36" s="96">
        <f t="shared" si="47"/>
        <v>57.143480819999994</v>
      </c>
      <c r="L36" s="96">
        <f t="shared" si="47"/>
        <v>58.244541328200015</v>
      </c>
      <c r="M36" s="96">
        <f t="shared" si="47"/>
        <v>76.301450011482004</v>
      </c>
      <c r="N36" s="96">
        <f t="shared" si="47"/>
        <v>80.946999108596827</v>
      </c>
      <c r="O36" s="96">
        <f t="shared" si="47"/>
        <v>86.027257156382817</v>
      </c>
      <c r="P36" s="96">
        <f t="shared" si="47"/>
        <v>136.50664659031665</v>
      </c>
      <c r="Q36" s="96">
        <f t="shared" si="47"/>
        <v>147.08227910482685</v>
      </c>
      <c r="R36" s="96">
        <f t="shared" si="47"/>
        <v>158.17531049407842</v>
      </c>
      <c r="S36" s="96">
        <f t="shared" si="47"/>
        <v>170.55840484831677</v>
      </c>
      <c r="T36" s="96">
        <f t="shared" si="47"/>
        <v>184.17980863797888</v>
      </c>
      <c r="U36" s="96">
        <f t="shared" si="47"/>
        <v>199.16335280660729</v>
      </c>
      <c r="V36" s="96">
        <f t="shared" si="47"/>
        <v>199.16335280660729</v>
      </c>
      <c r="W36" s="96">
        <f t="shared" si="47"/>
        <v>199.16335280660729</v>
      </c>
      <c r="X36" s="96">
        <f t="shared" si="47"/>
        <v>199.16335280660729</v>
      </c>
      <c r="Y36" s="96">
        <f t="shared" si="47"/>
        <v>199.16335280660729</v>
      </c>
      <c r="Z36" s="96">
        <f t="shared" si="47"/>
        <v>199.16335280660729</v>
      </c>
      <c r="AA36" s="96">
        <f t="shared" si="47"/>
        <v>199.16335280660729</v>
      </c>
      <c r="AB36" s="96">
        <f t="shared" si="47"/>
        <v>199.16335280660729</v>
      </c>
      <c r="AC36" s="96">
        <f t="shared" si="47"/>
        <v>201.42402439748099</v>
      </c>
      <c r="AD36" s="96">
        <f t="shared" si="47"/>
        <v>201.42402439748099</v>
      </c>
      <c r="AE36" s="96">
        <f t="shared" si="47"/>
        <v>201.42402439748099</v>
      </c>
      <c r="AF36" s="96">
        <f t="shared" si="47"/>
        <v>199.0764941888894</v>
      </c>
      <c r="AG36" s="96">
        <f t="shared" si="47"/>
        <v>199.0764941888894</v>
      </c>
      <c r="AH36" s="96">
        <f t="shared" si="47"/>
        <v>199.0764941888894</v>
      </c>
      <c r="AI36" s="96">
        <f t="shared" si="47"/>
        <v>199.0764941888894</v>
      </c>
      <c r="AJ36" s="96">
        <f t="shared" si="47"/>
        <v>199.0764941888894</v>
      </c>
      <c r="AK36" s="96">
        <f t="shared" si="47"/>
        <v>199.0764941888894</v>
      </c>
      <c r="AL36" s="96">
        <f t="shared" si="47"/>
        <v>199.0764941888894</v>
      </c>
      <c r="AM36" s="96">
        <f t="shared" si="47"/>
        <v>197.44518426822378</v>
      </c>
      <c r="AN36" s="96">
        <f t="shared" si="47"/>
        <v>197.44518426822378</v>
      </c>
      <c r="AO36" s="97">
        <f t="shared" si="47"/>
        <v>197.44518426822378</v>
      </c>
      <c r="AP36" s="98">
        <f t="shared" ref="AP36:AP37" si="48">SUM(F36:Q36)</f>
        <v>868.3150361198052</v>
      </c>
      <c r="AQ36" s="99">
        <f t="shared" ref="AQ36:AQ37" si="49">SUM(R36:AC36)</f>
        <v>2307.6443708307129</v>
      </c>
      <c r="AR36" s="100">
        <f t="shared" ref="AR36:AS37" si="50">SUM(AD36:AO36)</f>
        <v>2388.7190609218596</v>
      </c>
      <c r="AS36" s="101">
        <f t="shared" si="50"/>
        <v>3055.6100726441837</v>
      </c>
      <c r="AT36" s="98">
        <f t="shared" ref="AT36:AV37" si="51">AP36/12</f>
        <v>72.359586343317105</v>
      </c>
      <c r="AU36" s="99">
        <f t="shared" si="51"/>
        <v>192.30369756922607</v>
      </c>
      <c r="AV36" s="100">
        <f t="shared" si="51"/>
        <v>199.0599217434883</v>
      </c>
      <c r="AW36" s="101">
        <f t="shared" ref="AW36:AW37" si="52">SUM(AT36:AV36)</f>
        <v>463.7232056560315</v>
      </c>
    </row>
    <row r="37" spans="1:49" ht="16.5" customHeight="1" thickBot="1" x14ac:dyDescent="0.3">
      <c r="A37" s="65"/>
      <c r="B37" s="65"/>
      <c r="C37" s="102" t="s">
        <v>40</v>
      </c>
      <c r="D37" s="103"/>
      <c r="E37" s="104">
        <v>1</v>
      </c>
      <c r="F37" s="105">
        <f t="shared" ref="F37:AO37" si="53">F36*$E$37</f>
        <v>23.333333333333332</v>
      </c>
      <c r="G37" s="105">
        <f t="shared" si="53"/>
        <v>43.133333333333333</v>
      </c>
      <c r="H37" s="105">
        <f t="shared" si="53"/>
        <v>48.323333333333331</v>
      </c>
      <c r="I37" s="105">
        <f t="shared" si="53"/>
        <v>55.156200000000005</v>
      </c>
      <c r="J37" s="105">
        <f t="shared" si="53"/>
        <v>56.116182000000002</v>
      </c>
      <c r="K37" s="105">
        <f t="shared" si="53"/>
        <v>57.143480819999994</v>
      </c>
      <c r="L37" s="105">
        <f t="shared" si="53"/>
        <v>58.244541328200015</v>
      </c>
      <c r="M37" s="105">
        <f t="shared" si="53"/>
        <v>76.301450011482004</v>
      </c>
      <c r="N37" s="105">
        <f t="shared" si="53"/>
        <v>80.946999108596827</v>
      </c>
      <c r="O37" s="105">
        <f t="shared" si="53"/>
        <v>86.027257156382817</v>
      </c>
      <c r="P37" s="105">
        <f t="shared" si="53"/>
        <v>136.50664659031665</v>
      </c>
      <c r="Q37" s="105">
        <f t="shared" si="53"/>
        <v>147.08227910482685</v>
      </c>
      <c r="R37" s="105">
        <f t="shared" si="53"/>
        <v>158.17531049407842</v>
      </c>
      <c r="S37" s="105">
        <f t="shared" si="53"/>
        <v>170.55840484831677</v>
      </c>
      <c r="T37" s="105">
        <f t="shared" si="53"/>
        <v>184.17980863797888</v>
      </c>
      <c r="U37" s="105">
        <f t="shared" si="53"/>
        <v>199.16335280660729</v>
      </c>
      <c r="V37" s="105">
        <f t="shared" si="53"/>
        <v>199.16335280660729</v>
      </c>
      <c r="W37" s="105">
        <f t="shared" si="53"/>
        <v>199.16335280660729</v>
      </c>
      <c r="X37" s="105">
        <f t="shared" si="53"/>
        <v>199.16335280660729</v>
      </c>
      <c r="Y37" s="105">
        <f t="shared" si="53"/>
        <v>199.16335280660729</v>
      </c>
      <c r="Z37" s="105">
        <f t="shared" si="53"/>
        <v>199.16335280660729</v>
      </c>
      <c r="AA37" s="105">
        <f t="shared" si="53"/>
        <v>199.16335280660729</v>
      </c>
      <c r="AB37" s="105">
        <f t="shared" si="53"/>
        <v>199.16335280660729</v>
      </c>
      <c r="AC37" s="105">
        <f t="shared" si="53"/>
        <v>201.42402439748099</v>
      </c>
      <c r="AD37" s="105">
        <f t="shared" si="53"/>
        <v>201.42402439748099</v>
      </c>
      <c r="AE37" s="105">
        <f t="shared" si="53"/>
        <v>201.42402439748099</v>
      </c>
      <c r="AF37" s="105">
        <f t="shared" si="53"/>
        <v>199.0764941888894</v>
      </c>
      <c r="AG37" s="105">
        <f t="shared" si="53"/>
        <v>199.0764941888894</v>
      </c>
      <c r="AH37" s="105">
        <f t="shared" si="53"/>
        <v>199.0764941888894</v>
      </c>
      <c r="AI37" s="105">
        <f t="shared" si="53"/>
        <v>199.0764941888894</v>
      </c>
      <c r="AJ37" s="105">
        <f t="shared" si="53"/>
        <v>199.0764941888894</v>
      </c>
      <c r="AK37" s="105">
        <f t="shared" si="53"/>
        <v>199.0764941888894</v>
      </c>
      <c r="AL37" s="105">
        <f t="shared" si="53"/>
        <v>199.0764941888894</v>
      </c>
      <c r="AM37" s="105">
        <f t="shared" si="53"/>
        <v>197.44518426822378</v>
      </c>
      <c r="AN37" s="105">
        <f t="shared" si="53"/>
        <v>197.44518426822378</v>
      </c>
      <c r="AO37" s="106">
        <f t="shared" si="53"/>
        <v>197.44518426822378</v>
      </c>
      <c r="AP37" s="107">
        <f t="shared" si="48"/>
        <v>868.3150361198052</v>
      </c>
      <c r="AQ37" s="108">
        <f t="shared" si="49"/>
        <v>2307.6443708307129</v>
      </c>
      <c r="AR37" s="109">
        <f t="shared" si="50"/>
        <v>2388.7190609218596</v>
      </c>
      <c r="AS37" s="110">
        <f t="shared" si="50"/>
        <v>3055.6100726441837</v>
      </c>
      <c r="AT37" s="107">
        <f t="shared" si="51"/>
        <v>72.359586343317105</v>
      </c>
      <c r="AU37" s="108">
        <f t="shared" si="51"/>
        <v>192.30369756922607</v>
      </c>
      <c r="AV37" s="109">
        <f t="shared" si="51"/>
        <v>199.0599217434883</v>
      </c>
      <c r="AW37" s="110">
        <f t="shared" si="52"/>
        <v>463.7232056560315</v>
      </c>
    </row>
    <row r="38" spans="1:49" ht="9" customHeight="1" thickBot="1" x14ac:dyDescent="0.3">
      <c r="A38" s="65"/>
      <c r="B38" s="65"/>
      <c r="C38" s="92"/>
      <c r="D38" s="111"/>
      <c r="E38" s="112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4"/>
      <c r="AQ38" s="114"/>
      <c r="AR38" s="114"/>
      <c r="AS38" s="115"/>
      <c r="AT38" s="114"/>
      <c r="AU38" s="114"/>
      <c r="AV38" s="114"/>
      <c r="AW38" s="115"/>
    </row>
    <row r="39" spans="1:49" ht="13.5" customHeight="1" x14ac:dyDescent="0.3">
      <c r="A39" s="116"/>
      <c r="B39" s="116"/>
      <c r="C39" s="117" t="s">
        <v>41</v>
      </c>
      <c r="D39" s="118"/>
      <c r="E39" s="119"/>
      <c r="F39" s="119">
        <f t="shared" ref="F39:AO39" si="54">F40*F41</f>
        <v>5</v>
      </c>
      <c r="G39" s="119">
        <f t="shared" si="54"/>
        <v>7.5</v>
      </c>
      <c r="H39" s="119">
        <f t="shared" si="54"/>
        <v>11.25</v>
      </c>
      <c r="I39" s="119">
        <f t="shared" si="54"/>
        <v>16.875</v>
      </c>
      <c r="J39" s="119">
        <f t="shared" si="54"/>
        <v>16.875</v>
      </c>
      <c r="K39" s="119">
        <f t="shared" si="54"/>
        <v>16.875</v>
      </c>
      <c r="L39" s="119">
        <f t="shared" si="54"/>
        <v>16.875</v>
      </c>
      <c r="M39" s="119">
        <f t="shared" si="54"/>
        <v>33.75</v>
      </c>
      <c r="N39" s="119">
        <f t="shared" si="54"/>
        <v>37.125000000000007</v>
      </c>
      <c r="O39" s="119">
        <f t="shared" si="54"/>
        <v>40.837500000000013</v>
      </c>
      <c r="P39" s="119">
        <f t="shared" si="54"/>
        <v>89.842500000000015</v>
      </c>
      <c r="Q39" s="119">
        <f t="shared" si="54"/>
        <v>98.826750000000033</v>
      </c>
      <c r="R39" s="119">
        <f t="shared" si="54"/>
        <v>108.70942500000005</v>
      </c>
      <c r="S39" s="119">
        <f t="shared" si="54"/>
        <v>119.58036750000007</v>
      </c>
      <c r="T39" s="119">
        <f t="shared" si="54"/>
        <v>131.53840425000007</v>
      </c>
      <c r="U39" s="119">
        <f t="shared" si="54"/>
        <v>144.6922446750001</v>
      </c>
      <c r="V39" s="119">
        <f t="shared" si="54"/>
        <v>144.6922446750001</v>
      </c>
      <c r="W39" s="119">
        <f t="shared" si="54"/>
        <v>144.6922446750001</v>
      </c>
      <c r="X39" s="119">
        <f t="shared" si="54"/>
        <v>144.6922446750001</v>
      </c>
      <c r="Y39" s="119">
        <f t="shared" si="54"/>
        <v>144.6922446750001</v>
      </c>
      <c r="Z39" s="119">
        <f t="shared" si="54"/>
        <v>144.6922446750001</v>
      </c>
      <c r="AA39" s="119">
        <f t="shared" si="54"/>
        <v>144.6922446750001</v>
      </c>
      <c r="AB39" s="119">
        <f t="shared" si="54"/>
        <v>144.6922446750001</v>
      </c>
      <c r="AC39" s="119">
        <f t="shared" si="54"/>
        <v>144.6922446750001</v>
      </c>
      <c r="AD39" s="119">
        <f t="shared" si="54"/>
        <v>144.6922446750001</v>
      </c>
      <c r="AE39" s="119">
        <f t="shared" si="54"/>
        <v>144.6922446750001</v>
      </c>
      <c r="AF39" s="119">
        <f t="shared" si="54"/>
        <v>144.6922446750001</v>
      </c>
      <c r="AG39" s="119">
        <f t="shared" si="54"/>
        <v>144.6922446750001</v>
      </c>
      <c r="AH39" s="119">
        <f t="shared" si="54"/>
        <v>144.6922446750001</v>
      </c>
      <c r="AI39" s="119">
        <f t="shared" si="54"/>
        <v>144.6922446750001</v>
      </c>
      <c r="AJ39" s="119">
        <f t="shared" si="54"/>
        <v>144.6922446750001</v>
      </c>
      <c r="AK39" s="119">
        <f t="shared" si="54"/>
        <v>144.6922446750001</v>
      </c>
      <c r="AL39" s="119">
        <f t="shared" si="54"/>
        <v>144.6922446750001</v>
      </c>
      <c r="AM39" s="119">
        <f t="shared" si="54"/>
        <v>144.6922446750001</v>
      </c>
      <c r="AN39" s="119">
        <f t="shared" si="54"/>
        <v>144.6922446750001</v>
      </c>
      <c r="AO39" s="120">
        <f t="shared" si="54"/>
        <v>144.6922446750001</v>
      </c>
      <c r="AP39" s="121">
        <f t="shared" ref="AP39:AP40" si="55">SUM(F39:Q39)</f>
        <v>391.63175000000001</v>
      </c>
      <c r="AQ39" s="119">
        <f t="shared" ref="AQ39:AQ40" si="56">SUM(R39:AC39)</f>
        <v>1662.0583988250005</v>
      </c>
      <c r="AR39" s="120">
        <f t="shared" ref="AR39:AR40" si="57">SUM(AD39:AO39)</f>
        <v>1736.3069361000007</v>
      </c>
      <c r="AS39" s="122">
        <f t="shared" ref="AS39:AS40" si="58">SUM(AP39:AR39)</f>
        <v>3789.9970849250012</v>
      </c>
      <c r="AT39" s="121">
        <f t="shared" ref="AT39:AV40" si="59">AP39/12</f>
        <v>32.635979166666665</v>
      </c>
      <c r="AU39" s="119">
        <f t="shared" si="59"/>
        <v>138.50486656875003</v>
      </c>
      <c r="AV39" s="120">
        <f t="shared" si="59"/>
        <v>144.69224467500007</v>
      </c>
      <c r="AW39" s="122">
        <f t="shared" ref="AW39:AW40" si="60">AVERAGE(AT39:AV39)</f>
        <v>105.27769680347224</v>
      </c>
    </row>
    <row r="40" spans="1:49" ht="13.5" customHeight="1" x14ac:dyDescent="0.3">
      <c r="A40" s="123"/>
      <c r="B40" s="123"/>
      <c r="C40" s="124"/>
      <c r="D40" s="123" t="s">
        <v>42</v>
      </c>
      <c r="E40" s="125" t="s">
        <v>43</v>
      </c>
      <c r="F40" s="125">
        <v>1000</v>
      </c>
      <c r="G40" s="125">
        <f>F40*1.5</f>
        <v>1500</v>
      </c>
      <c r="H40" s="125">
        <f>G40*1.5</f>
        <v>2250</v>
      </c>
      <c r="I40" s="125">
        <f>H40*1.5</f>
        <v>3375</v>
      </c>
      <c r="J40" s="125">
        <f>I40</f>
        <v>3375</v>
      </c>
      <c r="K40" s="125">
        <f>J40</f>
        <v>3375</v>
      </c>
      <c r="L40" s="125">
        <f>K40</f>
        <v>3375</v>
      </c>
      <c r="M40" s="125">
        <f t="shared" ref="M40" si="61">L40*2</f>
        <v>6750</v>
      </c>
      <c r="N40" s="125">
        <f t="shared" ref="N40:U40" si="62">M40*1.1</f>
        <v>7425.0000000000009</v>
      </c>
      <c r="O40" s="125">
        <f t="shared" si="62"/>
        <v>8167.5000000000018</v>
      </c>
      <c r="P40" s="125">
        <f t="shared" si="62"/>
        <v>8984.2500000000018</v>
      </c>
      <c r="Q40" s="125">
        <f t="shared" si="62"/>
        <v>9882.6750000000029</v>
      </c>
      <c r="R40" s="125">
        <f t="shared" si="62"/>
        <v>10870.942500000005</v>
      </c>
      <c r="S40" s="125">
        <f t="shared" si="62"/>
        <v>11958.036750000007</v>
      </c>
      <c r="T40" s="125">
        <f t="shared" si="62"/>
        <v>13153.840425000008</v>
      </c>
      <c r="U40" s="125">
        <f t="shared" si="62"/>
        <v>14469.224467500009</v>
      </c>
      <c r="V40" s="125">
        <f t="shared" ref="V40:AO40" si="63">U40</f>
        <v>14469.224467500009</v>
      </c>
      <c r="W40" s="125">
        <f t="shared" si="63"/>
        <v>14469.224467500009</v>
      </c>
      <c r="X40" s="125">
        <f t="shared" si="63"/>
        <v>14469.224467500009</v>
      </c>
      <c r="Y40" s="125">
        <f t="shared" si="63"/>
        <v>14469.224467500009</v>
      </c>
      <c r="Z40" s="125">
        <f t="shared" si="63"/>
        <v>14469.224467500009</v>
      </c>
      <c r="AA40" s="125">
        <f t="shared" si="63"/>
        <v>14469.224467500009</v>
      </c>
      <c r="AB40" s="125">
        <f t="shared" si="63"/>
        <v>14469.224467500009</v>
      </c>
      <c r="AC40" s="125">
        <f t="shared" si="63"/>
        <v>14469.224467500009</v>
      </c>
      <c r="AD40" s="125">
        <f t="shared" si="63"/>
        <v>14469.224467500009</v>
      </c>
      <c r="AE40" s="125">
        <f t="shared" si="63"/>
        <v>14469.224467500009</v>
      </c>
      <c r="AF40" s="125">
        <f t="shared" si="63"/>
        <v>14469.224467500009</v>
      </c>
      <c r="AG40" s="125">
        <f t="shared" si="63"/>
        <v>14469.224467500009</v>
      </c>
      <c r="AH40" s="125">
        <f t="shared" si="63"/>
        <v>14469.224467500009</v>
      </c>
      <c r="AI40" s="125">
        <f t="shared" si="63"/>
        <v>14469.224467500009</v>
      </c>
      <c r="AJ40" s="125">
        <f t="shared" si="63"/>
        <v>14469.224467500009</v>
      </c>
      <c r="AK40" s="125">
        <f t="shared" si="63"/>
        <v>14469.224467500009</v>
      </c>
      <c r="AL40" s="125">
        <f t="shared" si="63"/>
        <v>14469.224467500009</v>
      </c>
      <c r="AM40" s="125">
        <f t="shared" si="63"/>
        <v>14469.224467500009</v>
      </c>
      <c r="AN40" s="125">
        <f t="shared" si="63"/>
        <v>14469.224467500009</v>
      </c>
      <c r="AO40" s="125">
        <f t="shared" si="63"/>
        <v>14469.224467500009</v>
      </c>
      <c r="AP40" s="126">
        <f t="shared" si="55"/>
        <v>59459.425000000003</v>
      </c>
      <c r="AQ40" s="125">
        <f t="shared" si="56"/>
        <v>166205.83988250009</v>
      </c>
      <c r="AR40" s="127">
        <f t="shared" si="57"/>
        <v>173630.69361000007</v>
      </c>
      <c r="AS40" s="128">
        <f t="shared" si="58"/>
        <v>399295.95849250018</v>
      </c>
      <c r="AT40" s="126">
        <f t="shared" si="59"/>
        <v>4954.9520833333336</v>
      </c>
      <c r="AU40" s="125">
        <f t="shared" si="59"/>
        <v>13850.486656875008</v>
      </c>
      <c r="AV40" s="127">
        <f t="shared" si="59"/>
        <v>14469.224467500006</v>
      </c>
      <c r="AW40" s="129">
        <f t="shared" si="60"/>
        <v>11091.554402569449</v>
      </c>
    </row>
    <row r="41" spans="1:49" ht="13.5" customHeight="1" thickBot="1" x14ac:dyDescent="0.35">
      <c r="A41" s="130"/>
      <c r="B41" s="130"/>
      <c r="C41" s="131"/>
      <c r="D41" s="132"/>
      <c r="E41" s="133" t="s">
        <v>44</v>
      </c>
      <c r="F41" s="134">
        <v>5.0000000000000001E-3</v>
      </c>
      <c r="G41" s="134">
        <v>5.0000000000000001E-3</v>
      </c>
      <c r="H41" s="134">
        <v>5.0000000000000001E-3</v>
      </c>
      <c r="I41" s="134">
        <v>5.0000000000000001E-3</v>
      </c>
      <c r="J41" s="134">
        <v>5.0000000000000001E-3</v>
      </c>
      <c r="K41" s="134">
        <v>5.0000000000000001E-3</v>
      </c>
      <c r="L41" s="134">
        <v>5.0000000000000001E-3</v>
      </c>
      <c r="M41" s="134">
        <v>5.0000000000000001E-3</v>
      </c>
      <c r="N41" s="134">
        <v>5.0000000000000001E-3</v>
      </c>
      <c r="O41" s="134">
        <v>5.0000000000000001E-3</v>
      </c>
      <c r="P41" s="133">
        <v>0.01</v>
      </c>
      <c r="Q41" s="133">
        <v>0.01</v>
      </c>
      <c r="R41" s="133">
        <v>0.01</v>
      </c>
      <c r="S41" s="133">
        <v>0.01</v>
      </c>
      <c r="T41" s="133">
        <v>0.01</v>
      </c>
      <c r="U41" s="133">
        <v>0.01</v>
      </c>
      <c r="V41" s="133">
        <v>0.01</v>
      </c>
      <c r="W41" s="133">
        <v>0.01</v>
      </c>
      <c r="X41" s="133">
        <v>0.01</v>
      </c>
      <c r="Y41" s="133">
        <v>0.01</v>
      </c>
      <c r="Z41" s="133">
        <v>0.01</v>
      </c>
      <c r="AA41" s="133">
        <v>0.01</v>
      </c>
      <c r="AB41" s="133">
        <v>0.01</v>
      </c>
      <c r="AC41" s="133">
        <v>0.01</v>
      </c>
      <c r="AD41" s="133">
        <v>0.01</v>
      </c>
      <c r="AE41" s="133">
        <v>0.01</v>
      </c>
      <c r="AF41" s="133">
        <v>0.01</v>
      </c>
      <c r="AG41" s="133">
        <v>0.01</v>
      </c>
      <c r="AH41" s="133">
        <v>0.01</v>
      </c>
      <c r="AI41" s="133">
        <v>0.01</v>
      </c>
      <c r="AJ41" s="133">
        <v>0.01</v>
      </c>
      <c r="AK41" s="133">
        <v>0.01</v>
      </c>
      <c r="AL41" s="133">
        <v>0.01</v>
      </c>
      <c r="AM41" s="133">
        <v>0.01</v>
      </c>
      <c r="AN41" s="133">
        <v>0.01</v>
      </c>
      <c r="AO41" s="133">
        <v>0.01</v>
      </c>
      <c r="AP41" s="135">
        <f t="shared" ref="AP41:AW41" si="64">AP39/AP40</f>
        <v>6.5865377944707669E-3</v>
      </c>
      <c r="AQ41" s="133">
        <f t="shared" si="64"/>
        <v>9.9999999999999967E-3</v>
      </c>
      <c r="AR41" s="136">
        <f t="shared" si="64"/>
        <v>0.01</v>
      </c>
      <c r="AS41" s="137">
        <f t="shared" si="64"/>
        <v>9.4916990876485093E-3</v>
      </c>
      <c r="AT41" s="135">
        <f t="shared" si="64"/>
        <v>6.5865377944707669E-3</v>
      </c>
      <c r="AU41" s="133">
        <f t="shared" si="64"/>
        <v>9.9999999999999967E-3</v>
      </c>
      <c r="AV41" s="136">
        <f t="shared" si="64"/>
        <v>0.01</v>
      </c>
      <c r="AW41" s="137">
        <f t="shared" si="64"/>
        <v>9.4916990876485093E-3</v>
      </c>
    </row>
    <row r="42" spans="1:49" ht="9" customHeight="1" thickBot="1" x14ac:dyDescent="0.35">
      <c r="A42" s="1"/>
      <c r="B42" s="1"/>
      <c r="C42" s="1"/>
      <c r="D42" s="1"/>
      <c r="E42" s="64"/>
      <c r="F42" s="6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t="13.5" customHeight="1" x14ac:dyDescent="0.3">
      <c r="A43" s="138"/>
      <c r="B43" s="138"/>
      <c r="C43" s="139" t="s">
        <v>45</v>
      </c>
      <c r="D43" s="140"/>
      <c r="E43" s="140"/>
      <c r="F43" s="140">
        <f t="shared" ref="F43:AW43" si="65">SUM(F36,F39)</f>
        <v>28.333333333333332</v>
      </c>
      <c r="G43" s="140">
        <f t="shared" si="65"/>
        <v>50.633333333333333</v>
      </c>
      <c r="H43" s="140">
        <f t="shared" si="65"/>
        <v>59.573333333333331</v>
      </c>
      <c r="I43" s="140">
        <f t="shared" si="65"/>
        <v>72.031200000000013</v>
      </c>
      <c r="J43" s="140">
        <f t="shared" si="65"/>
        <v>72.991182000000009</v>
      </c>
      <c r="K43" s="140">
        <f t="shared" si="65"/>
        <v>74.018480819999994</v>
      </c>
      <c r="L43" s="140">
        <f t="shared" si="65"/>
        <v>75.119541328200015</v>
      </c>
      <c r="M43" s="140">
        <f t="shared" si="65"/>
        <v>110.051450011482</v>
      </c>
      <c r="N43" s="140">
        <f t="shared" si="65"/>
        <v>118.07199910859683</v>
      </c>
      <c r="O43" s="140">
        <f t="shared" si="65"/>
        <v>126.86475715638284</v>
      </c>
      <c r="P43" s="140">
        <f t="shared" si="65"/>
        <v>226.34914659031665</v>
      </c>
      <c r="Q43" s="140">
        <f t="shared" si="65"/>
        <v>245.90902910482689</v>
      </c>
      <c r="R43" s="140">
        <f t="shared" si="65"/>
        <v>266.88473549407848</v>
      </c>
      <c r="S43" s="140">
        <f t="shared" si="65"/>
        <v>290.13877234831682</v>
      </c>
      <c r="T43" s="140">
        <f t="shared" si="65"/>
        <v>315.71821288797895</v>
      </c>
      <c r="U43" s="140">
        <f t="shared" si="65"/>
        <v>343.85559748160739</v>
      </c>
      <c r="V43" s="140">
        <f t="shared" si="65"/>
        <v>343.85559748160739</v>
      </c>
      <c r="W43" s="140">
        <f t="shared" si="65"/>
        <v>343.85559748160739</v>
      </c>
      <c r="X43" s="140">
        <f t="shared" si="65"/>
        <v>343.85559748160739</v>
      </c>
      <c r="Y43" s="140">
        <f t="shared" si="65"/>
        <v>343.85559748160739</v>
      </c>
      <c r="Z43" s="140">
        <f t="shared" si="65"/>
        <v>343.85559748160739</v>
      </c>
      <c r="AA43" s="140">
        <f t="shared" si="65"/>
        <v>343.85559748160739</v>
      </c>
      <c r="AB43" s="140">
        <f t="shared" si="65"/>
        <v>343.85559748160739</v>
      </c>
      <c r="AC43" s="140">
        <f t="shared" si="65"/>
        <v>346.11626907248109</v>
      </c>
      <c r="AD43" s="140">
        <f t="shared" si="65"/>
        <v>346.11626907248109</v>
      </c>
      <c r="AE43" s="140">
        <f t="shared" si="65"/>
        <v>346.11626907248109</v>
      </c>
      <c r="AF43" s="140">
        <f t="shared" si="65"/>
        <v>343.7687388638895</v>
      </c>
      <c r="AG43" s="140">
        <f t="shared" si="65"/>
        <v>343.7687388638895</v>
      </c>
      <c r="AH43" s="140">
        <f t="shared" si="65"/>
        <v>343.7687388638895</v>
      </c>
      <c r="AI43" s="140">
        <f t="shared" si="65"/>
        <v>343.7687388638895</v>
      </c>
      <c r="AJ43" s="140">
        <f t="shared" si="65"/>
        <v>343.7687388638895</v>
      </c>
      <c r="AK43" s="140">
        <f t="shared" si="65"/>
        <v>343.7687388638895</v>
      </c>
      <c r="AL43" s="140">
        <f t="shared" si="65"/>
        <v>343.7687388638895</v>
      </c>
      <c r="AM43" s="140">
        <f t="shared" si="65"/>
        <v>342.13742894322388</v>
      </c>
      <c r="AN43" s="140">
        <f t="shared" si="65"/>
        <v>342.13742894322388</v>
      </c>
      <c r="AO43" s="140">
        <f t="shared" si="65"/>
        <v>342.13742894322388</v>
      </c>
      <c r="AP43" s="141">
        <f t="shared" si="65"/>
        <v>1259.9467861198052</v>
      </c>
      <c r="AQ43" s="140">
        <f t="shared" si="65"/>
        <v>3969.7027696557134</v>
      </c>
      <c r="AR43" s="142">
        <f t="shared" si="65"/>
        <v>4125.0259970218603</v>
      </c>
      <c r="AS43" s="143">
        <f t="shared" si="65"/>
        <v>6845.6071575691849</v>
      </c>
      <c r="AT43" s="140">
        <f t="shared" si="65"/>
        <v>104.99556550998378</v>
      </c>
      <c r="AU43" s="140">
        <f t="shared" si="65"/>
        <v>330.80856413797608</v>
      </c>
      <c r="AV43" s="140">
        <f t="shared" si="65"/>
        <v>343.7521664184884</v>
      </c>
      <c r="AW43" s="143">
        <f t="shared" si="65"/>
        <v>569.00090245950378</v>
      </c>
    </row>
    <row r="44" spans="1:49" ht="13.5" customHeight="1" thickBot="1" x14ac:dyDescent="0.35">
      <c r="A44" s="144"/>
      <c r="B44" s="144"/>
      <c r="C44" s="145" t="s">
        <v>46</v>
      </c>
      <c r="D44" s="146"/>
      <c r="E44" s="147"/>
      <c r="F44" s="147">
        <f t="shared" ref="F44:AW44" si="66">F43*$E$37</f>
        <v>28.333333333333332</v>
      </c>
      <c r="G44" s="147">
        <f t="shared" si="66"/>
        <v>50.633333333333333</v>
      </c>
      <c r="H44" s="147">
        <f t="shared" si="66"/>
        <v>59.573333333333331</v>
      </c>
      <c r="I44" s="147">
        <f t="shared" si="66"/>
        <v>72.031200000000013</v>
      </c>
      <c r="J44" s="147">
        <f t="shared" si="66"/>
        <v>72.991182000000009</v>
      </c>
      <c r="K44" s="147">
        <f t="shared" si="66"/>
        <v>74.018480819999994</v>
      </c>
      <c r="L44" s="147">
        <f t="shared" si="66"/>
        <v>75.119541328200015</v>
      </c>
      <c r="M44" s="147">
        <f t="shared" si="66"/>
        <v>110.051450011482</v>
      </c>
      <c r="N44" s="147">
        <f t="shared" si="66"/>
        <v>118.07199910859683</v>
      </c>
      <c r="O44" s="147">
        <f t="shared" si="66"/>
        <v>126.86475715638284</v>
      </c>
      <c r="P44" s="147">
        <f t="shared" si="66"/>
        <v>226.34914659031665</v>
      </c>
      <c r="Q44" s="147">
        <f t="shared" si="66"/>
        <v>245.90902910482689</v>
      </c>
      <c r="R44" s="147">
        <f t="shared" si="66"/>
        <v>266.88473549407848</v>
      </c>
      <c r="S44" s="147">
        <f t="shared" si="66"/>
        <v>290.13877234831682</v>
      </c>
      <c r="T44" s="147">
        <f t="shared" si="66"/>
        <v>315.71821288797895</v>
      </c>
      <c r="U44" s="147">
        <f t="shared" si="66"/>
        <v>343.85559748160739</v>
      </c>
      <c r="V44" s="147">
        <f t="shared" si="66"/>
        <v>343.85559748160739</v>
      </c>
      <c r="W44" s="147">
        <f t="shared" si="66"/>
        <v>343.85559748160739</v>
      </c>
      <c r="X44" s="147">
        <f t="shared" si="66"/>
        <v>343.85559748160739</v>
      </c>
      <c r="Y44" s="147">
        <f t="shared" si="66"/>
        <v>343.85559748160739</v>
      </c>
      <c r="Z44" s="147">
        <f t="shared" si="66"/>
        <v>343.85559748160739</v>
      </c>
      <c r="AA44" s="147">
        <f t="shared" si="66"/>
        <v>343.85559748160739</v>
      </c>
      <c r="AB44" s="147">
        <f t="shared" si="66"/>
        <v>343.85559748160739</v>
      </c>
      <c r="AC44" s="147">
        <f t="shared" si="66"/>
        <v>346.11626907248109</v>
      </c>
      <c r="AD44" s="147">
        <f t="shared" si="66"/>
        <v>346.11626907248109</v>
      </c>
      <c r="AE44" s="147">
        <f t="shared" si="66"/>
        <v>346.11626907248109</v>
      </c>
      <c r="AF44" s="147">
        <f t="shared" si="66"/>
        <v>343.7687388638895</v>
      </c>
      <c r="AG44" s="147">
        <f t="shared" si="66"/>
        <v>343.7687388638895</v>
      </c>
      <c r="AH44" s="147">
        <f t="shared" si="66"/>
        <v>343.7687388638895</v>
      </c>
      <c r="AI44" s="147">
        <f t="shared" si="66"/>
        <v>343.7687388638895</v>
      </c>
      <c r="AJ44" s="147">
        <f t="shared" si="66"/>
        <v>343.7687388638895</v>
      </c>
      <c r="AK44" s="147">
        <f t="shared" si="66"/>
        <v>343.7687388638895</v>
      </c>
      <c r="AL44" s="147">
        <f t="shared" si="66"/>
        <v>343.7687388638895</v>
      </c>
      <c r="AM44" s="147">
        <f t="shared" si="66"/>
        <v>342.13742894322388</v>
      </c>
      <c r="AN44" s="147">
        <f t="shared" si="66"/>
        <v>342.13742894322388</v>
      </c>
      <c r="AO44" s="147">
        <f t="shared" si="66"/>
        <v>342.13742894322388</v>
      </c>
      <c r="AP44" s="148">
        <f t="shared" si="66"/>
        <v>1259.9467861198052</v>
      </c>
      <c r="AQ44" s="147">
        <f t="shared" si="66"/>
        <v>3969.7027696557134</v>
      </c>
      <c r="AR44" s="149">
        <f t="shared" si="66"/>
        <v>4125.0259970218603</v>
      </c>
      <c r="AS44" s="150">
        <f t="shared" si="66"/>
        <v>6845.6071575691849</v>
      </c>
      <c r="AT44" s="147">
        <f t="shared" si="66"/>
        <v>104.99556550998378</v>
      </c>
      <c r="AU44" s="147">
        <f t="shared" si="66"/>
        <v>330.80856413797608</v>
      </c>
      <c r="AV44" s="147">
        <f t="shared" si="66"/>
        <v>343.7521664184884</v>
      </c>
      <c r="AW44" s="150">
        <f t="shared" si="66"/>
        <v>569.00090245950378</v>
      </c>
    </row>
    <row r="45" spans="1:49" ht="9" customHeight="1" thickBot="1" x14ac:dyDescent="0.35">
      <c r="A45" s="1"/>
      <c r="B45" s="1"/>
      <c r="C45" s="1"/>
      <c r="D45" s="1"/>
      <c r="E45" s="64"/>
      <c r="F45" s="6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t="13.5" customHeight="1" x14ac:dyDescent="0.3">
      <c r="A46" s="29"/>
      <c r="B46" s="29"/>
      <c r="C46" s="151" t="s">
        <v>47</v>
      </c>
      <c r="D46" s="152"/>
      <c r="E46" s="153"/>
      <c r="F46" s="154">
        <f t="shared" ref="F46:AO46" si="67">SUM(F47:F50)</f>
        <v>4</v>
      </c>
      <c r="G46" s="154">
        <f t="shared" si="67"/>
        <v>5.3000000000000007</v>
      </c>
      <c r="H46" s="154">
        <f t="shared" si="67"/>
        <v>5.83</v>
      </c>
      <c r="I46" s="154">
        <f t="shared" si="67"/>
        <v>6.4130000000000011</v>
      </c>
      <c r="J46" s="154">
        <f t="shared" si="67"/>
        <v>7.0543000000000013</v>
      </c>
      <c r="K46" s="154">
        <f t="shared" si="67"/>
        <v>7.7597300000000029</v>
      </c>
      <c r="L46" s="154">
        <f t="shared" si="67"/>
        <v>8.5357030000000051</v>
      </c>
      <c r="M46" s="154">
        <f t="shared" si="67"/>
        <v>9.3892733000000064</v>
      </c>
      <c r="N46" s="154">
        <f t="shared" si="67"/>
        <v>10.328200630000008</v>
      </c>
      <c r="O46" s="154">
        <f t="shared" si="67"/>
        <v>11.361020693000007</v>
      </c>
      <c r="P46" s="154">
        <f t="shared" si="67"/>
        <v>12.497122762300013</v>
      </c>
      <c r="Q46" s="154">
        <f t="shared" si="67"/>
        <v>13.746835038530012</v>
      </c>
      <c r="R46" s="154">
        <f t="shared" si="67"/>
        <v>15.121518542383017</v>
      </c>
      <c r="S46" s="154">
        <f t="shared" si="67"/>
        <v>16.633670396621319</v>
      </c>
      <c r="T46" s="154">
        <f t="shared" si="67"/>
        <v>18.297037436283453</v>
      </c>
      <c r="U46" s="154">
        <f t="shared" si="67"/>
        <v>20.126741179911797</v>
      </c>
      <c r="V46" s="154">
        <f t="shared" si="67"/>
        <v>20.126741179911797</v>
      </c>
      <c r="W46" s="154">
        <f t="shared" si="67"/>
        <v>20.126741179911797</v>
      </c>
      <c r="X46" s="154">
        <f t="shared" si="67"/>
        <v>20.126741179911797</v>
      </c>
      <c r="Y46" s="154">
        <f t="shared" si="67"/>
        <v>20.126741179911797</v>
      </c>
      <c r="Z46" s="154">
        <f t="shared" si="67"/>
        <v>20.126741179911797</v>
      </c>
      <c r="AA46" s="154">
        <f t="shared" si="67"/>
        <v>20.126741179911797</v>
      </c>
      <c r="AB46" s="154">
        <f t="shared" si="67"/>
        <v>20.126741179911797</v>
      </c>
      <c r="AC46" s="154">
        <f t="shared" si="67"/>
        <v>20.126741179911797</v>
      </c>
      <c r="AD46" s="154">
        <f t="shared" si="67"/>
        <v>20.126741179911797</v>
      </c>
      <c r="AE46" s="154">
        <f t="shared" si="67"/>
        <v>20.126741179911797</v>
      </c>
      <c r="AF46" s="154">
        <f t="shared" si="67"/>
        <v>20.126741179911797</v>
      </c>
      <c r="AG46" s="154">
        <f t="shared" si="67"/>
        <v>20.126741179911797</v>
      </c>
      <c r="AH46" s="154">
        <f t="shared" si="67"/>
        <v>20.126741179911797</v>
      </c>
      <c r="AI46" s="154">
        <f t="shared" si="67"/>
        <v>20.126741179911797</v>
      </c>
      <c r="AJ46" s="154">
        <f t="shared" si="67"/>
        <v>20.126741179911797</v>
      </c>
      <c r="AK46" s="154">
        <f t="shared" si="67"/>
        <v>20.126741179911797</v>
      </c>
      <c r="AL46" s="154">
        <f t="shared" si="67"/>
        <v>20.126741179911797</v>
      </c>
      <c r="AM46" s="154">
        <f t="shared" si="67"/>
        <v>20.126741179911797</v>
      </c>
      <c r="AN46" s="154">
        <f t="shared" si="67"/>
        <v>20.126741179911797</v>
      </c>
      <c r="AO46" s="154">
        <f t="shared" si="67"/>
        <v>20.126741179911797</v>
      </c>
      <c r="AP46" s="155">
        <f t="shared" ref="AP46:AP51" si="68">SUM(F46:Q46)</f>
        <v>102.21518542383005</v>
      </c>
      <c r="AQ46" s="156">
        <f t="shared" ref="AQ46:AQ50" si="69">SUM(R46:AC46)</f>
        <v>231.19289699449391</v>
      </c>
      <c r="AR46" s="157">
        <f t="shared" ref="AR46:AR50" si="70">SUM(AD46:AO46)</f>
        <v>241.5208941589415</v>
      </c>
      <c r="AS46" s="158">
        <f t="shared" ref="AS46:AS51" si="71">SUM(AP46:AR46)</f>
        <v>574.92897657726542</v>
      </c>
      <c r="AT46" s="155">
        <f t="shared" ref="AT46:AV51" si="72">AP46/12</f>
        <v>8.5179321186525048</v>
      </c>
      <c r="AU46" s="156">
        <f t="shared" si="72"/>
        <v>19.266074749541158</v>
      </c>
      <c r="AV46" s="157">
        <f t="shared" si="72"/>
        <v>20.126741179911793</v>
      </c>
      <c r="AW46" s="158">
        <f t="shared" ref="AW46:AW51" si="73">SUM(AT46:AV46)</f>
        <v>47.910748048105461</v>
      </c>
    </row>
    <row r="47" spans="1:49" ht="13.5" customHeight="1" x14ac:dyDescent="0.3">
      <c r="A47" s="17"/>
      <c r="B47" s="17"/>
      <c r="C47" s="159"/>
      <c r="D47" s="17" t="s">
        <v>48</v>
      </c>
      <c r="E47" s="160"/>
      <c r="F47" s="161">
        <v>1</v>
      </c>
      <c r="G47" s="161">
        <f>F47*(1+G51)</f>
        <v>1.1000000000000001</v>
      </c>
      <c r="H47" s="161">
        <f t="shared" ref="H47:U47" si="74">G47*(1+H51)</f>
        <v>1.2100000000000002</v>
      </c>
      <c r="I47" s="161">
        <f t="shared" si="74"/>
        <v>1.3310000000000004</v>
      </c>
      <c r="J47" s="161">
        <f t="shared" si="74"/>
        <v>1.4641000000000006</v>
      </c>
      <c r="K47" s="161">
        <f t="shared" si="74"/>
        <v>1.6105100000000008</v>
      </c>
      <c r="L47" s="161">
        <f t="shared" si="74"/>
        <v>1.7715610000000011</v>
      </c>
      <c r="M47" s="161">
        <f t="shared" si="74"/>
        <v>1.9487171000000014</v>
      </c>
      <c r="N47" s="161">
        <f t="shared" si="74"/>
        <v>2.1435888100000016</v>
      </c>
      <c r="O47" s="161">
        <f t="shared" si="74"/>
        <v>2.3579476910000019</v>
      </c>
      <c r="P47" s="161">
        <f t="shared" si="74"/>
        <v>2.5937424601000023</v>
      </c>
      <c r="Q47" s="161">
        <f t="shared" si="74"/>
        <v>2.8531167061100029</v>
      </c>
      <c r="R47" s="161">
        <f t="shared" si="74"/>
        <v>3.1384283767210035</v>
      </c>
      <c r="S47" s="161">
        <f t="shared" si="74"/>
        <v>3.4522712143931042</v>
      </c>
      <c r="T47" s="161">
        <f t="shared" si="74"/>
        <v>3.7974983358324148</v>
      </c>
      <c r="U47" s="161">
        <f t="shared" si="74"/>
        <v>4.1772481694156562</v>
      </c>
      <c r="V47" s="161">
        <f t="shared" ref="V47:AO51" si="75">U47</f>
        <v>4.1772481694156562</v>
      </c>
      <c r="W47" s="161">
        <f t="shared" si="75"/>
        <v>4.1772481694156562</v>
      </c>
      <c r="X47" s="161">
        <f t="shared" si="75"/>
        <v>4.1772481694156562</v>
      </c>
      <c r="Y47" s="161">
        <f t="shared" si="75"/>
        <v>4.1772481694156562</v>
      </c>
      <c r="Z47" s="161">
        <f t="shared" si="75"/>
        <v>4.1772481694156562</v>
      </c>
      <c r="AA47" s="161">
        <f t="shared" si="75"/>
        <v>4.1772481694156562</v>
      </c>
      <c r="AB47" s="161">
        <f t="shared" si="75"/>
        <v>4.1772481694156562</v>
      </c>
      <c r="AC47" s="161">
        <f t="shared" si="75"/>
        <v>4.1772481694156562</v>
      </c>
      <c r="AD47" s="161">
        <f t="shared" si="75"/>
        <v>4.1772481694156562</v>
      </c>
      <c r="AE47" s="161">
        <f t="shared" si="75"/>
        <v>4.1772481694156562</v>
      </c>
      <c r="AF47" s="161">
        <f t="shared" si="75"/>
        <v>4.1772481694156562</v>
      </c>
      <c r="AG47" s="161">
        <f t="shared" si="75"/>
        <v>4.1772481694156562</v>
      </c>
      <c r="AH47" s="161">
        <f t="shared" si="75"/>
        <v>4.1772481694156562</v>
      </c>
      <c r="AI47" s="161">
        <f t="shared" si="75"/>
        <v>4.1772481694156562</v>
      </c>
      <c r="AJ47" s="161">
        <f t="shared" si="75"/>
        <v>4.1772481694156562</v>
      </c>
      <c r="AK47" s="161">
        <f t="shared" si="75"/>
        <v>4.1772481694156562</v>
      </c>
      <c r="AL47" s="161">
        <f t="shared" si="75"/>
        <v>4.1772481694156562</v>
      </c>
      <c r="AM47" s="161">
        <f t="shared" si="75"/>
        <v>4.1772481694156562</v>
      </c>
      <c r="AN47" s="161">
        <f t="shared" si="75"/>
        <v>4.1772481694156562</v>
      </c>
      <c r="AO47" s="161">
        <f t="shared" si="75"/>
        <v>4.1772481694156562</v>
      </c>
      <c r="AP47" s="162">
        <f t="shared" si="68"/>
        <v>21.384283767210015</v>
      </c>
      <c r="AQ47" s="163">
        <f t="shared" si="69"/>
        <v>47.983431451687423</v>
      </c>
      <c r="AR47" s="164">
        <f t="shared" si="70"/>
        <v>50.126978032987871</v>
      </c>
      <c r="AS47" s="165">
        <f t="shared" si="71"/>
        <v>119.49469325188531</v>
      </c>
      <c r="AT47" s="162">
        <f t="shared" si="72"/>
        <v>1.7820236472675013</v>
      </c>
      <c r="AU47" s="163">
        <f t="shared" si="72"/>
        <v>3.9986192876406186</v>
      </c>
      <c r="AV47" s="164">
        <f t="shared" si="72"/>
        <v>4.1772481694156562</v>
      </c>
      <c r="AW47" s="165">
        <f t="shared" si="73"/>
        <v>9.9578911043237763</v>
      </c>
    </row>
    <row r="48" spans="1:49" ht="13.5" customHeight="1" x14ac:dyDescent="0.3">
      <c r="A48" s="17"/>
      <c r="B48" s="17"/>
      <c r="C48" s="159"/>
      <c r="D48" s="17" t="s">
        <v>54</v>
      </c>
      <c r="E48" s="160"/>
      <c r="F48" s="161">
        <v>1</v>
      </c>
      <c r="G48" s="161">
        <v>2</v>
      </c>
      <c r="H48" s="161">
        <f t="shared" ref="H48:U48" si="76">G48*(1+H51)</f>
        <v>2.2000000000000002</v>
      </c>
      <c r="I48" s="161">
        <f t="shared" si="76"/>
        <v>2.4200000000000004</v>
      </c>
      <c r="J48" s="161">
        <f t="shared" si="76"/>
        <v>2.6620000000000008</v>
      </c>
      <c r="K48" s="161">
        <f t="shared" si="76"/>
        <v>2.9282000000000012</v>
      </c>
      <c r="L48" s="161">
        <f t="shared" si="76"/>
        <v>3.2210200000000015</v>
      </c>
      <c r="M48" s="161">
        <f t="shared" si="76"/>
        <v>3.5431220000000021</v>
      </c>
      <c r="N48" s="161">
        <f t="shared" si="76"/>
        <v>3.8974342000000028</v>
      </c>
      <c r="O48" s="161">
        <f t="shared" si="76"/>
        <v>4.2871776200000031</v>
      </c>
      <c r="P48" s="161">
        <f t="shared" si="76"/>
        <v>4.7158953820000038</v>
      </c>
      <c r="Q48" s="161">
        <f t="shared" si="76"/>
        <v>5.1874849202000046</v>
      </c>
      <c r="R48" s="161">
        <f t="shared" si="76"/>
        <v>5.7062334122200058</v>
      </c>
      <c r="S48" s="161">
        <f t="shared" si="76"/>
        <v>6.276856753442007</v>
      </c>
      <c r="T48" s="161">
        <f t="shared" si="76"/>
        <v>6.9045424287862085</v>
      </c>
      <c r="U48" s="161">
        <f t="shared" si="76"/>
        <v>7.5949966716648296</v>
      </c>
      <c r="V48" s="161">
        <f t="shared" si="75"/>
        <v>7.5949966716648296</v>
      </c>
      <c r="W48" s="161">
        <f t="shared" si="75"/>
        <v>7.5949966716648296</v>
      </c>
      <c r="X48" s="161">
        <f t="shared" si="75"/>
        <v>7.5949966716648296</v>
      </c>
      <c r="Y48" s="161">
        <f t="shared" si="75"/>
        <v>7.5949966716648296</v>
      </c>
      <c r="Z48" s="161">
        <f t="shared" si="75"/>
        <v>7.5949966716648296</v>
      </c>
      <c r="AA48" s="161">
        <f t="shared" si="75"/>
        <v>7.5949966716648296</v>
      </c>
      <c r="AB48" s="161">
        <f t="shared" si="75"/>
        <v>7.5949966716648296</v>
      </c>
      <c r="AC48" s="161">
        <f t="shared" si="75"/>
        <v>7.5949966716648296</v>
      </c>
      <c r="AD48" s="161">
        <f t="shared" si="75"/>
        <v>7.5949966716648296</v>
      </c>
      <c r="AE48" s="161">
        <f t="shared" si="75"/>
        <v>7.5949966716648296</v>
      </c>
      <c r="AF48" s="161">
        <f t="shared" si="75"/>
        <v>7.5949966716648296</v>
      </c>
      <c r="AG48" s="161">
        <f t="shared" si="75"/>
        <v>7.5949966716648296</v>
      </c>
      <c r="AH48" s="161">
        <f t="shared" si="75"/>
        <v>7.5949966716648296</v>
      </c>
      <c r="AI48" s="161">
        <f t="shared" si="75"/>
        <v>7.5949966716648296</v>
      </c>
      <c r="AJ48" s="161">
        <f t="shared" si="75"/>
        <v>7.5949966716648296</v>
      </c>
      <c r="AK48" s="161">
        <f t="shared" si="75"/>
        <v>7.5949966716648296</v>
      </c>
      <c r="AL48" s="161">
        <f t="shared" si="75"/>
        <v>7.5949966716648296</v>
      </c>
      <c r="AM48" s="161">
        <f t="shared" si="75"/>
        <v>7.5949966716648296</v>
      </c>
      <c r="AN48" s="161">
        <f t="shared" si="75"/>
        <v>7.5949966716648296</v>
      </c>
      <c r="AO48" s="161">
        <f t="shared" si="75"/>
        <v>7.5949966716648296</v>
      </c>
      <c r="AP48" s="162">
        <f t="shared" si="68"/>
        <v>38.062334122200028</v>
      </c>
      <c r="AQ48" s="163">
        <f t="shared" si="69"/>
        <v>87.242602639431695</v>
      </c>
      <c r="AR48" s="164">
        <f t="shared" si="70"/>
        <v>91.139960059977952</v>
      </c>
      <c r="AS48" s="165">
        <f t="shared" si="71"/>
        <v>216.44489682160969</v>
      </c>
      <c r="AT48" s="162">
        <f t="shared" si="72"/>
        <v>3.1718611768500025</v>
      </c>
      <c r="AU48" s="163">
        <f t="shared" si="72"/>
        <v>7.2702168866193082</v>
      </c>
      <c r="AV48" s="164">
        <f t="shared" si="72"/>
        <v>7.5949966716648296</v>
      </c>
      <c r="AW48" s="165">
        <f t="shared" si="73"/>
        <v>18.037074735134141</v>
      </c>
    </row>
    <row r="49" spans="1:49" ht="13.5" customHeight="1" x14ac:dyDescent="0.3">
      <c r="A49" s="17"/>
      <c r="B49" s="17"/>
      <c r="C49" s="159"/>
      <c r="D49" s="17" t="s">
        <v>55</v>
      </c>
      <c r="E49" s="160"/>
      <c r="F49" s="161">
        <v>1</v>
      </c>
      <c r="G49" s="161">
        <f>F49*(1+G51)</f>
        <v>1.1000000000000001</v>
      </c>
      <c r="H49" s="161">
        <f t="shared" ref="H49:U49" si="77">G49*(1+H51)</f>
        <v>1.2100000000000002</v>
      </c>
      <c r="I49" s="161">
        <f t="shared" si="77"/>
        <v>1.3310000000000004</v>
      </c>
      <c r="J49" s="161">
        <f t="shared" si="77"/>
        <v>1.4641000000000006</v>
      </c>
      <c r="K49" s="161">
        <f t="shared" si="77"/>
        <v>1.6105100000000008</v>
      </c>
      <c r="L49" s="161">
        <f t="shared" si="77"/>
        <v>1.7715610000000011</v>
      </c>
      <c r="M49" s="161">
        <f t="shared" si="77"/>
        <v>1.9487171000000014</v>
      </c>
      <c r="N49" s="161">
        <f t="shared" si="77"/>
        <v>2.1435888100000016</v>
      </c>
      <c r="O49" s="161">
        <f t="shared" si="77"/>
        <v>2.3579476910000019</v>
      </c>
      <c r="P49" s="161">
        <f t="shared" si="77"/>
        <v>2.5937424601000023</v>
      </c>
      <c r="Q49" s="161">
        <f t="shared" si="77"/>
        <v>2.8531167061100029</v>
      </c>
      <c r="R49" s="161">
        <f t="shared" si="77"/>
        <v>3.1384283767210035</v>
      </c>
      <c r="S49" s="161">
        <f t="shared" si="77"/>
        <v>3.4522712143931042</v>
      </c>
      <c r="T49" s="161">
        <f t="shared" si="77"/>
        <v>3.7974983358324148</v>
      </c>
      <c r="U49" s="161">
        <f t="shared" si="77"/>
        <v>4.1772481694156562</v>
      </c>
      <c r="V49" s="161">
        <f t="shared" si="75"/>
        <v>4.1772481694156562</v>
      </c>
      <c r="W49" s="161">
        <f t="shared" si="75"/>
        <v>4.1772481694156562</v>
      </c>
      <c r="X49" s="161">
        <f t="shared" si="75"/>
        <v>4.1772481694156562</v>
      </c>
      <c r="Y49" s="161">
        <f t="shared" si="75"/>
        <v>4.1772481694156562</v>
      </c>
      <c r="Z49" s="161">
        <f t="shared" si="75"/>
        <v>4.1772481694156562</v>
      </c>
      <c r="AA49" s="161">
        <f t="shared" si="75"/>
        <v>4.1772481694156562</v>
      </c>
      <c r="AB49" s="161">
        <f t="shared" si="75"/>
        <v>4.1772481694156562</v>
      </c>
      <c r="AC49" s="161">
        <f t="shared" si="75"/>
        <v>4.1772481694156562</v>
      </c>
      <c r="AD49" s="161">
        <f t="shared" si="75"/>
        <v>4.1772481694156562</v>
      </c>
      <c r="AE49" s="161">
        <f t="shared" si="75"/>
        <v>4.1772481694156562</v>
      </c>
      <c r="AF49" s="161">
        <f t="shared" si="75"/>
        <v>4.1772481694156562</v>
      </c>
      <c r="AG49" s="161">
        <f t="shared" si="75"/>
        <v>4.1772481694156562</v>
      </c>
      <c r="AH49" s="161">
        <f t="shared" si="75"/>
        <v>4.1772481694156562</v>
      </c>
      <c r="AI49" s="161">
        <f t="shared" si="75"/>
        <v>4.1772481694156562</v>
      </c>
      <c r="AJ49" s="161">
        <f t="shared" si="75"/>
        <v>4.1772481694156562</v>
      </c>
      <c r="AK49" s="161">
        <f t="shared" si="75"/>
        <v>4.1772481694156562</v>
      </c>
      <c r="AL49" s="161">
        <f t="shared" si="75"/>
        <v>4.1772481694156562</v>
      </c>
      <c r="AM49" s="161">
        <f t="shared" si="75"/>
        <v>4.1772481694156562</v>
      </c>
      <c r="AN49" s="161">
        <f t="shared" si="75"/>
        <v>4.1772481694156562</v>
      </c>
      <c r="AO49" s="161">
        <f t="shared" si="75"/>
        <v>4.1772481694156562</v>
      </c>
      <c r="AP49" s="162">
        <f t="shared" si="68"/>
        <v>21.384283767210015</v>
      </c>
      <c r="AQ49" s="163">
        <f t="shared" si="69"/>
        <v>47.983431451687423</v>
      </c>
      <c r="AR49" s="164">
        <f t="shared" si="70"/>
        <v>50.126978032987871</v>
      </c>
      <c r="AS49" s="165">
        <f t="shared" si="71"/>
        <v>119.49469325188531</v>
      </c>
      <c r="AT49" s="162">
        <f t="shared" si="72"/>
        <v>1.7820236472675013</v>
      </c>
      <c r="AU49" s="163">
        <f t="shared" si="72"/>
        <v>3.9986192876406186</v>
      </c>
      <c r="AV49" s="164">
        <f t="shared" si="72"/>
        <v>4.1772481694156562</v>
      </c>
      <c r="AW49" s="165">
        <f t="shared" si="73"/>
        <v>9.9578911043237763</v>
      </c>
    </row>
    <row r="50" spans="1:49" ht="13.5" customHeight="1" thickBot="1" x14ac:dyDescent="0.35">
      <c r="A50" s="17"/>
      <c r="B50" s="17"/>
      <c r="C50" s="166"/>
      <c r="D50" s="167" t="s">
        <v>56</v>
      </c>
      <c r="E50" s="168"/>
      <c r="F50" s="169">
        <v>1</v>
      </c>
      <c r="G50" s="169">
        <f>F50*(1+G51)</f>
        <v>1.1000000000000001</v>
      </c>
      <c r="H50" s="169">
        <f t="shared" ref="H50:U50" si="78">G50*(1+H51)</f>
        <v>1.2100000000000002</v>
      </c>
      <c r="I50" s="169">
        <f t="shared" si="78"/>
        <v>1.3310000000000004</v>
      </c>
      <c r="J50" s="169">
        <f t="shared" si="78"/>
        <v>1.4641000000000006</v>
      </c>
      <c r="K50" s="169">
        <f t="shared" si="78"/>
        <v>1.6105100000000008</v>
      </c>
      <c r="L50" s="169">
        <f t="shared" si="78"/>
        <v>1.7715610000000011</v>
      </c>
      <c r="M50" s="169">
        <f t="shared" si="78"/>
        <v>1.9487171000000014</v>
      </c>
      <c r="N50" s="169">
        <f t="shared" si="78"/>
        <v>2.1435888100000016</v>
      </c>
      <c r="O50" s="169">
        <f t="shared" si="78"/>
        <v>2.3579476910000019</v>
      </c>
      <c r="P50" s="169">
        <f t="shared" si="78"/>
        <v>2.5937424601000023</v>
      </c>
      <c r="Q50" s="169">
        <f t="shared" si="78"/>
        <v>2.8531167061100029</v>
      </c>
      <c r="R50" s="169">
        <f t="shared" si="78"/>
        <v>3.1384283767210035</v>
      </c>
      <c r="S50" s="169">
        <f t="shared" si="78"/>
        <v>3.4522712143931042</v>
      </c>
      <c r="T50" s="169">
        <f t="shared" si="78"/>
        <v>3.7974983358324148</v>
      </c>
      <c r="U50" s="169">
        <f t="shared" si="78"/>
        <v>4.1772481694156562</v>
      </c>
      <c r="V50" s="169">
        <f t="shared" si="75"/>
        <v>4.1772481694156562</v>
      </c>
      <c r="W50" s="169">
        <f t="shared" si="75"/>
        <v>4.1772481694156562</v>
      </c>
      <c r="X50" s="169">
        <f t="shared" si="75"/>
        <v>4.1772481694156562</v>
      </c>
      <c r="Y50" s="169">
        <f t="shared" si="75"/>
        <v>4.1772481694156562</v>
      </c>
      <c r="Z50" s="169">
        <f t="shared" si="75"/>
        <v>4.1772481694156562</v>
      </c>
      <c r="AA50" s="169">
        <f t="shared" si="75"/>
        <v>4.1772481694156562</v>
      </c>
      <c r="AB50" s="169">
        <f t="shared" si="75"/>
        <v>4.1772481694156562</v>
      </c>
      <c r="AC50" s="169">
        <f t="shared" si="75"/>
        <v>4.1772481694156562</v>
      </c>
      <c r="AD50" s="169">
        <f t="shared" si="75"/>
        <v>4.1772481694156562</v>
      </c>
      <c r="AE50" s="169">
        <f t="shared" si="75"/>
        <v>4.1772481694156562</v>
      </c>
      <c r="AF50" s="169">
        <f t="shared" si="75"/>
        <v>4.1772481694156562</v>
      </c>
      <c r="AG50" s="169">
        <f t="shared" si="75"/>
        <v>4.1772481694156562</v>
      </c>
      <c r="AH50" s="169">
        <f t="shared" si="75"/>
        <v>4.1772481694156562</v>
      </c>
      <c r="AI50" s="169">
        <f t="shared" si="75"/>
        <v>4.1772481694156562</v>
      </c>
      <c r="AJ50" s="169">
        <f t="shared" si="75"/>
        <v>4.1772481694156562</v>
      </c>
      <c r="AK50" s="169">
        <f t="shared" si="75"/>
        <v>4.1772481694156562</v>
      </c>
      <c r="AL50" s="169">
        <f t="shared" si="75"/>
        <v>4.1772481694156562</v>
      </c>
      <c r="AM50" s="169">
        <f t="shared" si="75"/>
        <v>4.1772481694156562</v>
      </c>
      <c r="AN50" s="169">
        <f t="shared" si="75"/>
        <v>4.1772481694156562</v>
      </c>
      <c r="AO50" s="169">
        <f t="shared" si="75"/>
        <v>4.1772481694156562</v>
      </c>
      <c r="AP50" s="170">
        <f t="shared" si="68"/>
        <v>21.384283767210015</v>
      </c>
      <c r="AQ50" s="171">
        <f t="shared" si="69"/>
        <v>47.983431451687423</v>
      </c>
      <c r="AR50" s="172">
        <f t="shared" si="70"/>
        <v>50.126978032987871</v>
      </c>
      <c r="AS50" s="173">
        <f t="shared" si="71"/>
        <v>119.49469325188531</v>
      </c>
      <c r="AT50" s="170">
        <f t="shared" si="72"/>
        <v>1.7820236472675013</v>
      </c>
      <c r="AU50" s="171">
        <f t="shared" si="72"/>
        <v>3.9986192876406186</v>
      </c>
      <c r="AV50" s="172">
        <f t="shared" si="72"/>
        <v>4.1772481694156562</v>
      </c>
      <c r="AW50" s="173">
        <f t="shared" si="73"/>
        <v>9.9578911043237763</v>
      </c>
    </row>
    <row r="51" spans="1:49" ht="13.5" customHeight="1" x14ac:dyDescent="0.3">
      <c r="A51" s="130"/>
      <c r="B51" s="130"/>
      <c r="C51" s="130"/>
      <c r="D51" s="130" t="s">
        <v>49</v>
      </c>
      <c r="E51" s="174"/>
      <c r="F51" s="174">
        <v>0.1</v>
      </c>
      <c r="G51" s="175">
        <f t="shared" ref="G51:V52" si="79">F51</f>
        <v>0.1</v>
      </c>
      <c r="H51" s="175">
        <f t="shared" si="79"/>
        <v>0.1</v>
      </c>
      <c r="I51" s="175">
        <f t="shared" si="79"/>
        <v>0.1</v>
      </c>
      <c r="J51" s="175">
        <f t="shared" si="79"/>
        <v>0.1</v>
      </c>
      <c r="K51" s="175">
        <f t="shared" si="79"/>
        <v>0.1</v>
      </c>
      <c r="L51" s="175">
        <f t="shared" si="79"/>
        <v>0.1</v>
      </c>
      <c r="M51" s="175">
        <f t="shared" si="79"/>
        <v>0.1</v>
      </c>
      <c r="N51" s="175">
        <f t="shared" si="79"/>
        <v>0.1</v>
      </c>
      <c r="O51" s="175">
        <f t="shared" si="79"/>
        <v>0.1</v>
      </c>
      <c r="P51" s="175">
        <f t="shared" si="79"/>
        <v>0.1</v>
      </c>
      <c r="Q51" s="175">
        <f t="shared" si="79"/>
        <v>0.1</v>
      </c>
      <c r="R51" s="175">
        <f t="shared" si="79"/>
        <v>0.1</v>
      </c>
      <c r="S51" s="175">
        <f t="shared" si="79"/>
        <v>0.1</v>
      </c>
      <c r="T51" s="175">
        <f t="shared" si="79"/>
        <v>0.1</v>
      </c>
      <c r="U51" s="175">
        <f t="shared" si="79"/>
        <v>0.1</v>
      </c>
      <c r="V51" s="175">
        <f t="shared" si="79"/>
        <v>0.1</v>
      </c>
      <c r="W51" s="175">
        <f t="shared" si="75"/>
        <v>0.1</v>
      </c>
      <c r="X51" s="175">
        <f t="shared" si="75"/>
        <v>0.1</v>
      </c>
      <c r="Y51" s="175">
        <f t="shared" si="75"/>
        <v>0.1</v>
      </c>
      <c r="Z51" s="175">
        <f t="shared" si="75"/>
        <v>0.1</v>
      </c>
      <c r="AA51" s="175">
        <f t="shared" si="75"/>
        <v>0.1</v>
      </c>
      <c r="AB51" s="175">
        <f t="shared" si="75"/>
        <v>0.1</v>
      </c>
      <c r="AC51" s="175">
        <f t="shared" si="75"/>
        <v>0.1</v>
      </c>
      <c r="AD51" s="175">
        <f t="shared" si="75"/>
        <v>0.1</v>
      </c>
      <c r="AE51" s="175">
        <f t="shared" si="75"/>
        <v>0.1</v>
      </c>
      <c r="AF51" s="175">
        <f t="shared" si="75"/>
        <v>0.1</v>
      </c>
      <c r="AG51" s="175">
        <f t="shared" si="75"/>
        <v>0.1</v>
      </c>
      <c r="AH51" s="175">
        <f t="shared" si="75"/>
        <v>0.1</v>
      </c>
      <c r="AI51" s="175">
        <f t="shared" si="75"/>
        <v>0.1</v>
      </c>
      <c r="AJ51" s="175">
        <f t="shared" si="75"/>
        <v>0.1</v>
      </c>
      <c r="AK51" s="175">
        <f t="shared" si="75"/>
        <v>0.1</v>
      </c>
      <c r="AL51" s="175">
        <f t="shared" si="75"/>
        <v>0.1</v>
      </c>
      <c r="AM51" s="175">
        <f t="shared" si="75"/>
        <v>0.1</v>
      </c>
      <c r="AN51" s="175">
        <f t="shared" si="75"/>
        <v>0.1</v>
      </c>
      <c r="AO51" s="175">
        <f t="shared" si="75"/>
        <v>0.1</v>
      </c>
      <c r="AP51" s="130">
        <f t="shared" si="68"/>
        <v>1.2</v>
      </c>
      <c r="AQ51" s="174">
        <f t="shared" ref="AQ51:AR51" si="80">AQ46/AP46-1</f>
        <v>1.2618253445988907</v>
      </c>
      <c r="AR51" s="174">
        <f t="shared" si="80"/>
        <v>4.4672640460461821E-2</v>
      </c>
      <c r="AS51" s="130">
        <f t="shared" si="71"/>
        <v>2.5064979850593527</v>
      </c>
      <c r="AT51" s="130">
        <f t="shared" si="72"/>
        <v>9.9999999999999992E-2</v>
      </c>
      <c r="AU51" s="174">
        <f t="shared" ref="AU51:AV51" si="81">AU46/AT46-1</f>
        <v>1.2618253445988903</v>
      </c>
      <c r="AV51" s="174">
        <f t="shared" si="81"/>
        <v>4.4672640460461821E-2</v>
      </c>
      <c r="AW51" s="130">
        <f t="shared" si="73"/>
        <v>1.4064979850593522</v>
      </c>
    </row>
    <row r="52" spans="1:49" ht="9" customHeight="1" thickBot="1" x14ac:dyDescent="0.35">
      <c r="A52" s="1"/>
      <c r="B52" s="1"/>
      <c r="C52" s="1"/>
      <c r="D52" s="1"/>
      <c r="E52" s="64"/>
      <c r="F52" s="6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t="13.5" customHeight="1" x14ac:dyDescent="0.3">
      <c r="A53" s="138"/>
      <c r="B53" s="138"/>
      <c r="C53" s="139" t="s">
        <v>50</v>
      </c>
      <c r="D53" s="140"/>
      <c r="E53" s="140"/>
      <c r="F53" s="140">
        <f t="shared" ref="F53:AW53" si="82">F46+F43</f>
        <v>32.333333333333329</v>
      </c>
      <c r="G53" s="140">
        <f t="shared" si="82"/>
        <v>55.933333333333337</v>
      </c>
      <c r="H53" s="140">
        <f t="shared" si="82"/>
        <v>65.403333333333336</v>
      </c>
      <c r="I53" s="140">
        <f t="shared" si="82"/>
        <v>78.444200000000009</v>
      </c>
      <c r="J53" s="140">
        <f t="shared" si="82"/>
        <v>80.045482000000007</v>
      </c>
      <c r="K53" s="140">
        <f t="shared" si="82"/>
        <v>81.778210819999998</v>
      </c>
      <c r="L53" s="140">
        <f t="shared" si="82"/>
        <v>83.655244328200013</v>
      </c>
      <c r="M53" s="140">
        <f t="shared" si="82"/>
        <v>119.440723311482</v>
      </c>
      <c r="N53" s="140">
        <f t="shared" si="82"/>
        <v>128.40019973859683</v>
      </c>
      <c r="O53" s="140">
        <f t="shared" si="82"/>
        <v>138.22577784938284</v>
      </c>
      <c r="P53" s="140">
        <f t="shared" si="82"/>
        <v>238.84626935261667</v>
      </c>
      <c r="Q53" s="140">
        <f t="shared" si="82"/>
        <v>259.65586414335689</v>
      </c>
      <c r="R53" s="140">
        <f t="shared" si="82"/>
        <v>282.00625403646148</v>
      </c>
      <c r="S53" s="140">
        <f t="shared" si="82"/>
        <v>306.77244274493813</v>
      </c>
      <c r="T53" s="140">
        <f t="shared" si="82"/>
        <v>334.01525032426241</v>
      </c>
      <c r="U53" s="140">
        <f t="shared" si="82"/>
        <v>363.98233866151918</v>
      </c>
      <c r="V53" s="140">
        <f t="shared" si="82"/>
        <v>363.98233866151918</v>
      </c>
      <c r="W53" s="140">
        <f t="shared" si="82"/>
        <v>363.98233866151918</v>
      </c>
      <c r="X53" s="140">
        <f t="shared" si="82"/>
        <v>363.98233866151918</v>
      </c>
      <c r="Y53" s="140">
        <f t="shared" si="82"/>
        <v>363.98233866151918</v>
      </c>
      <c r="Z53" s="140">
        <f t="shared" si="82"/>
        <v>363.98233866151918</v>
      </c>
      <c r="AA53" s="140">
        <f t="shared" si="82"/>
        <v>363.98233866151918</v>
      </c>
      <c r="AB53" s="140">
        <f t="shared" si="82"/>
        <v>363.98233866151918</v>
      </c>
      <c r="AC53" s="140">
        <f t="shared" si="82"/>
        <v>366.24301025239288</v>
      </c>
      <c r="AD53" s="140">
        <f t="shared" si="82"/>
        <v>366.24301025239288</v>
      </c>
      <c r="AE53" s="140">
        <f t="shared" si="82"/>
        <v>366.24301025239288</v>
      </c>
      <c r="AF53" s="140">
        <f t="shared" si="82"/>
        <v>363.89548004380129</v>
      </c>
      <c r="AG53" s="140">
        <f t="shared" si="82"/>
        <v>363.89548004380129</v>
      </c>
      <c r="AH53" s="140">
        <f t="shared" si="82"/>
        <v>363.89548004380129</v>
      </c>
      <c r="AI53" s="140">
        <f t="shared" si="82"/>
        <v>363.89548004380129</v>
      </c>
      <c r="AJ53" s="140">
        <f t="shared" si="82"/>
        <v>363.89548004380129</v>
      </c>
      <c r="AK53" s="140">
        <f t="shared" si="82"/>
        <v>363.89548004380129</v>
      </c>
      <c r="AL53" s="140">
        <f t="shared" si="82"/>
        <v>363.89548004380129</v>
      </c>
      <c r="AM53" s="140">
        <f t="shared" si="82"/>
        <v>362.26417012313567</v>
      </c>
      <c r="AN53" s="140">
        <f t="shared" si="82"/>
        <v>362.26417012313567</v>
      </c>
      <c r="AO53" s="140">
        <f t="shared" si="82"/>
        <v>362.26417012313567</v>
      </c>
      <c r="AP53" s="141">
        <f t="shared" si="82"/>
        <v>1362.1619715436352</v>
      </c>
      <c r="AQ53" s="140">
        <f t="shared" si="82"/>
        <v>4200.8956666502072</v>
      </c>
      <c r="AR53" s="142">
        <f t="shared" si="82"/>
        <v>4366.546891180802</v>
      </c>
      <c r="AS53" s="143">
        <f t="shared" si="82"/>
        <v>7420.5361341464504</v>
      </c>
      <c r="AT53" s="140">
        <f t="shared" si="82"/>
        <v>113.51349762863629</v>
      </c>
      <c r="AU53" s="140">
        <f t="shared" si="82"/>
        <v>350.07463888751721</v>
      </c>
      <c r="AV53" s="140">
        <f t="shared" si="82"/>
        <v>363.87890759840019</v>
      </c>
      <c r="AW53" s="143">
        <f t="shared" si="82"/>
        <v>616.91165050760924</v>
      </c>
    </row>
    <row r="54" spans="1:49" ht="13.5" customHeight="1" thickBot="1" x14ac:dyDescent="0.35">
      <c r="A54" s="144"/>
      <c r="B54" s="144"/>
      <c r="C54" s="145" t="s">
        <v>51</v>
      </c>
      <c r="D54" s="146"/>
      <c r="E54" s="147"/>
      <c r="F54" s="147">
        <f t="shared" ref="F54:AW54" si="83">F53*$E$37</f>
        <v>32.333333333333329</v>
      </c>
      <c r="G54" s="147">
        <f t="shared" si="83"/>
        <v>55.933333333333337</v>
      </c>
      <c r="H54" s="147">
        <f t="shared" si="83"/>
        <v>65.403333333333336</v>
      </c>
      <c r="I54" s="147">
        <f t="shared" si="83"/>
        <v>78.444200000000009</v>
      </c>
      <c r="J54" s="147">
        <f t="shared" si="83"/>
        <v>80.045482000000007</v>
      </c>
      <c r="K54" s="147">
        <f t="shared" si="83"/>
        <v>81.778210819999998</v>
      </c>
      <c r="L54" s="147">
        <f t="shared" si="83"/>
        <v>83.655244328200013</v>
      </c>
      <c r="M54" s="147">
        <f t="shared" si="83"/>
        <v>119.440723311482</v>
      </c>
      <c r="N54" s="147">
        <f t="shared" si="83"/>
        <v>128.40019973859683</v>
      </c>
      <c r="O54" s="147">
        <f t="shared" si="83"/>
        <v>138.22577784938284</v>
      </c>
      <c r="P54" s="147">
        <f t="shared" si="83"/>
        <v>238.84626935261667</v>
      </c>
      <c r="Q54" s="147">
        <f t="shared" si="83"/>
        <v>259.65586414335689</v>
      </c>
      <c r="R54" s="147">
        <f t="shared" si="83"/>
        <v>282.00625403646148</v>
      </c>
      <c r="S54" s="147">
        <f t="shared" si="83"/>
        <v>306.77244274493813</v>
      </c>
      <c r="T54" s="147">
        <f t="shared" si="83"/>
        <v>334.01525032426241</v>
      </c>
      <c r="U54" s="147">
        <f t="shared" si="83"/>
        <v>363.98233866151918</v>
      </c>
      <c r="V54" s="147">
        <f t="shared" si="83"/>
        <v>363.98233866151918</v>
      </c>
      <c r="W54" s="147">
        <f t="shared" si="83"/>
        <v>363.98233866151918</v>
      </c>
      <c r="X54" s="147">
        <f t="shared" si="83"/>
        <v>363.98233866151918</v>
      </c>
      <c r="Y54" s="147">
        <f t="shared" si="83"/>
        <v>363.98233866151918</v>
      </c>
      <c r="Z54" s="147">
        <f t="shared" si="83"/>
        <v>363.98233866151918</v>
      </c>
      <c r="AA54" s="147">
        <f t="shared" si="83"/>
        <v>363.98233866151918</v>
      </c>
      <c r="AB54" s="147">
        <f t="shared" si="83"/>
        <v>363.98233866151918</v>
      </c>
      <c r="AC54" s="147">
        <f t="shared" si="83"/>
        <v>366.24301025239288</v>
      </c>
      <c r="AD54" s="147">
        <f t="shared" si="83"/>
        <v>366.24301025239288</v>
      </c>
      <c r="AE54" s="147">
        <f t="shared" si="83"/>
        <v>366.24301025239288</v>
      </c>
      <c r="AF54" s="147">
        <f t="shared" si="83"/>
        <v>363.89548004380129</v>
      </c>
      <c r="AG54" s="147">
        <f t="shared" si="83"/>
        <v>363.89548004380129</v>
      </c>
      <c r="AH54" s="147">
        <f t="shared" si="83"/>
        <v>363.89548004380129</v>
      </c>
      <c r="AI54" s="147">
        <f t="shared" si="83"/>
        <v>363.89548004380129</v>
      </c>
      <c r="AJ54" s="147">
        <f t="shared" si="83"/>
        <v>363.89548004380129</v>
      </c>
      <c r="AK54" s="147">
        <f t="shared" si="83"/>
        <v>363.89548004380129</v>
      </c>
      <c r="AL54" s="147">
        <f t="shared" si="83"/>
        <v>363.89548004380129</v>
      </c>
      <c r="AM54" s="147">
        <f t="shared" si="83"/>
        <v>362.26417012313567</v>
      </c>
      <c r="AN54" s="147">
        <f t="shared" si="83"/>
        <v>362.26417012313567</v>
      </c>
      <c r="AO54" s="147">
        <f t="shared" si="83"/>
        <v>362.26417012313567</v>
      </c>
      <c r="AP54" s="148">
        <f t="shared" si="83"/>
        <v>1362.1619715436352</v>
      </c>
      <c r="AQ54" s="147">
        <f t="shared" si="83"/>
        <v>4200.8956666502072</v>
      </c>
      <c r="AR54" s="149">
        <f t="shared" si="83"/>
        <v>4366.546891180802</v>
      </c>
      <c r="AS54" s="150">
        <f t="shared" si="83"/>
        <v>7420.5361341464504</v>
      </c>
      <c r="AT54" s="147">
        <f t="shared" si="83"/>
        <v>113.51349762863629</v>
      </c>
      <c r="AU54" s="147">
        <f t="shared" si="83"/>
        <v>350.07463888751721</v>
      </c>
      <c r="AV54" s="147">
        <f t="shared" si="83"/>
        <v>363.87890759840019</v>
      </c>
      <c r="AW54" s="150">
        <f t="shared" si="83"/>
        <v>616.91165050760924</v>
      </c>
    </row>
    <row r="55" spans="1:49" ht="13.5" customHeight="1" x14ac:dyDescent="0.3">
      <c r="A55" s="17"/>
      <c r="B55" s="17"/>
      <c r="C55" s="17"/>
      <c r="D55" s="17"/>
      <c r="E55" s="160"/>
      <c r="F55" s="160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"/>
      <c r="AQ55" s="17"/>
      <c r="AR55" s="17"/>
      <c r="AS55" s="17"/>
      <c r="AT55" s="17"/>
      <c r="AU55" s="17"/>
      <c r="AV55" s="17"/>
      <c r="AW55" s="17"/>
    </row>
    <row r="56" spans="1:49" ht="13.5" customHeight="1" x14ac:dyDescent="0.3">
      <c r="A56" s="1"/>
      <c r="B56" s="1"/>
      <c r="C56" s="1"/>
      <c r="D56" s="1"/>
      <c r="E56" s="64"/>
      <c r="F56" s="177"/>
      <c r="G56" s="18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t="13.5" customHeight="1" x14ac:dyDescent="0.3">
      <c r="A57" s="1"/>
      <c r="B57" s="1"/>
      <c r="C57" s="1"/>
      <c r="D57" s="1"/>
      <c r="E57" s="64"/>
      <c r="F57" s="6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13.5" customHeight="1" x14ac:dyDescent="0.3">
      <c r="A58" s="1"/>
      <c r="B58" s="1"/>
      <c r="C58" s="1"/>
      <c r="D58" s="1"/>
      <c r="E58" s="64"/>
      <c r="F58" s="6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t="13.5" customHeight="1" x14ac:dyDescent="0.3">
      <c r="A59" s="1"/>
      <c r="B59" s="1"/>
      <c r="C59" s="1"/>
      <c r="D59" s="1"/>
      <c r="E59" s="64"/>
      <c r="F59" s="6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t="13.5" customHeight="1" x14ac:dyDescent="0.3">
      <c r="A60" s="1"/>
      <c r="B60" s="1"/>
      <c r="C60" s="1"/>
      <c r="D60" s="1"/>
      <c r="E60" s="64"/>
      <c r="F60" s="6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t="13.5" customHeight="1" x14ac:dyDescent="0.3">
      <c r="A61" s="1"/>
      <c r="B61" s="1"/>
      <c r="C61" s="1"/>
      <c r="D61" s="1"/>
      <c r="E61" s="64"/>
      <c r="F61" s="6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t="13.5" customHeight="1" x14ac:dyDescent="0.3">
      <c r="A62" s="1"/>
      <c r="B62" s="1"/>
      <c r="C62" s="1"/>
      <c r="D62" s="1"/>
      <c r="E62" s="64"/>
      <c r="F62" s="6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t="13.5" customHeight="1" x14ac:dyDescent="0.3">
      <c r="A63" s="1"/>
      <c r="B63" s="1"/>
      <c r="C63" s="1"/>
      <c r="D63" s="1"/>
      <c r="E63" s="64"/>
      <c r="F63" s="6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t="13.5" customHeight="1" x14ac:dyDescent="0.3">
      <c r="A64" s="1"/>
      <c r="B64" s="1"/>
      <c r="C64" s="1"/>
      <c r="D64" s="1"/>
      <c r="E64" s="64"/>
      <c r="F64" s="6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13.5" customHeight="1" x14ac:dyDescent="0.3">
      <c r="A65" s="1"/>
      <c r="B65" s="1"/>
      <c r="C65" s="1"/>
      <c r="D65" s="1"/>
      <c r="E65" s="64"/>
      <c r="F65" s="6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13.5" customHeight="1" x14ac:dyDescent="0.3">
      <c r="A66" s="1"/>
      <c r="B66" s="1"/>
      <c r="C66" s="1"/>
      <c r="D66" s="1"/>
      <c r="E66" s="64"/>
      <c r="F66" s="6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t="13.5" customHeight="1" x14ac:dyDescent="0.3">
      <c r="A67" s="1"/>
      <c r="B67" s="1"/>
      <c r="C67" s="1"/>
      <c r="D67" s="1"/>
      <c r="E67" s="64"/>
      <c r="F67" s="6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13.5" customHeight="1" x14ac:dyDescent="0.3">
      <c r="A68" s="1"/>
      <c r="B68" s="1"/>
      <c r="C68" s="1"/>
      <c r="D68" s="1"/>
      <c r="E68" s="64"/>
      <c r="F68" s="6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t="13.5" customHeight="1" x14ac:dyDescent="0.3">
      <c r="A69" s="1"/>
      <c r="B69" s="1"/>
      <c r="C69" s="1"/>
      <c r="D69" s="1"/>
      <c r="E69" s="64"/>
      <c r="F69" s="6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13.5" customHeight="1" x14ac:dyDescent="0.3">
      <c r="A70" s="1"/>
      <c r="B70" s="1"/>
      <c r="C70" s="1"/>
      <c r="D70" s="1"/>
      <c r="E70" s="64"/>
      <c r="F70" s="6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t="13.5" customHeight="1" x14ac:dyDescent="0.3">
      <c r="A71" s="1"/>
      <c r="B71" s="1"/>
      <c r="C71" s="1"/>
      <c r="D71" s="1"/>
      <c r="E71" s="64"/>
      <c r="F71" s="6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13.5" customHeight="1" x14ac:dyDescent="0.3">
      <c r="A72" s="1"/>
      <c r="B72" s="1"/>
      <c r="C72" s="1"/>
      <c r="D72" s="1"/>
      <c r="E72" s="64"/>
      <c r="F72" s="6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13.5" customHeight="1" x14ac:dyDescent="0.3">
      <c r="A73" s="1"/>
      <c r="B73" s="1"/>
      <c r="C73" s="1"/>
      <c r="D73" s="1"/>
      <c r="E73" s="64"/>
      <c r="F73" s="6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13.5" customHeight="1" x14ac:dyDescent="0.3">
      <c r="A74" s="1"/>
      <c r="B74" s="1"/>
      <c r="C74" s="1"/>
      <c r="D74" s="1"/>
      <c r="E74" s="64"/>
      <c r="F74" s="6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13.5" customHeight="1" x14ac:dyDescent="0.3">
      <c r="A75" s="1"/>
      <c r="B75" s="1"/>
      <c r="C75" s="1"/>
      <c r="D75" s="1"/>
      <c r="E75" s="64"/>
      <c r="F75" s="6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13.5" customHeight="1" x14ac:dyDescent="0.3">
      <c r="A76" s="1"/>
      <c r="B76" s="1"/>
      <c r="C76" s="1"/>
      <c r="D76" s="1"/>
      <c r="E76" s="64"/>
      <c r="F76" s="6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13.5" customHeight="1" x14ac:dyDescent="0.3">
      <c r="A77" s="1"/>
      <c r="B77" s="1"/>
      <c r="C77" s="1"/>
      <c r="D77" s="1"/>
      <c r="E77" s="64"/>
      <c r="F77" s="6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13.5" customHeight="1" x14ac:dyDescent="0.3">
      <c r="A78" s="1"/>
      <c r="B78" s="1"/>
      <c r="C78" s="1"/>
      <c r="D78" s="1"/>
      <c r="E78" s="64"/>
      <c r="F78" s="6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13.5" customHeight="1" x14ac:dyDescent="0.3">
      <c r="A79" s="1"/>
      <c r="B79" s="1"/>
      <c r="C79" s="1"/>
      <c r="D79" s="1"/>
      <c r="E79" s="64"/>
      <c r="F79" s="6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3.5" customHeight="1" x14ac:dyDescent="0.3">
      <c r="A80" s="1"/>
      <c r="B80" s="1"/>
      <c r="C80" s="1"/>
      <c r="D80" s="1"/>
      <c r="E80" s="64"/>
      <c r="F80" s="6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13.5" customHeight="1" x14ac:dyDescent="0.3">
      <c r="A81" s="1"/>
      <c r="B81" s="1"/>
      <c r="C81" s="1"/>
      <c r="D81" s="1"/>
      <c r="E81" s="64"/>
      <c r="F81" s="6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13.5" customHeight="1" x14ac:dyDescent="0.3">
      <c r="A82" s="1"/>
      <c r="B82" s="1"/>
      <c r="C82" s="1"/>
      <c r="D82" s="1"/>
      <c r="E82" s="64"/>
      <c r="F82" s="6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ht="13.5" customHeight="1" x14ac:dyDescent="0.3">
      <c r="A83" s="1"/>
      <c r="B83" s="1"/>
      <c r="C83" s="1"/>
      <c r="D83" s="1"/>
      <c r="E83" s="64"/>
      <c r="F83" s="6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13.5" customHeight="1" x14ac:dyDescent="0.3">
      <c r="A84" s="1"/>
      <c r="B84" s="1"/>
      <c r="C84" s="1"/>
      <c r="D84" s="1"/>
      <c r="E84" s="64"/>
      <c r="F84" s="6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t="13.5" customHeight="1" x14ac:dyDescent="0.3">
      <c r="A85" s="1"/>
      <c r="B85" s="1"/>
      <c r="C85" s="1"/>
      <c r="D85" s="1"/>
      <c r="E85" s="64"/>
      <c r="F85" s="6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13.5" customHeight="1" x14ac:dyDescent="0.3">
      <c r="A86" s="1"/>
      <c r="B86" s="1"/>
      <c r="C86" s="1"/>
      <c r="D86" s="1"/>
      <c r="E86" s="64"/>
      <c r="F86" s="6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t="13.5" customHeight="1" x14ac:dyDescent="0.3">
      <c r="A87" s="1"/>
      <c r="B87" s="1"/>
      <c r="C87" s="1"/>
      <c r="D87" s="1"/>
      <c r="E87" s="64"/>
      <c r="F87" s="6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3.5" customHeight="1" x14ac:dyDescent="0.3">
      <c r="A88" s="1"/>
      <c r="B88" s="1"/>
      <c r="C88" s="1"/>
      <c r="D88" s="1"/>
      <c r="E88" s="64"/>
      <c r="F88" s="6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t="13.5" customHeight="1" x14ac:dyDescent="0.3">
      <c r="A89" s="1"/>
      <c r="B89" s="1"/>
      <c r="C89" s="1"/>
      <c r="D89" s="1"/>
      <c r="E89" s="64"/>
      <c r="F89" s="6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3.5" customHeight="1" x14ac:dyDescent="0.3">
      <c r="A90" s="1"/>
      <c r="B90" s="1"/>
      <c r="C90" s="1"/>
      <c r="D90" s="1"/>
      <c r="E90" s="64"/>
      <c r="F90" s="6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t="13.5" customHeight="1" x14ac:dyDescent="0.3">
      <c r="A91" s="1"/>
      <c r="B91" s="1"/>
      <c r="C91" s="1"/>
      <c r="D91" s="1"/>
      <c r="E91" s="64"/>
      <c r="F91" s="6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13.5" customHeight="1" x14ac:dyDescent="0.3">
      <c r="A92" s="1"/>
      <c r="B92" s="1"/>
      <c r="C92" s="1"/>
      <c r="D92" s="1"/>
      <c r="E92" s="64"/>
      <c r="F92" s="6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t="13.5" customHeight="1" x14ac:dyDescent="0.3">
      <c r="A93" s="1"/>
      <c r="B93" s="1"/>
      <c r="C93" s="1"/>
      <c r="D93" s="1"/>
      <c r="E93" s="64"/>
      <c r="F93" s="6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13.5" customHeight="1" x14ac:dyDescent="0.3">
      <c r="A94" s="1"/>
      <c r="B94" s="1"/>
      <c r="C94" s="1"/>
      <c r="D94" s="1"/>
      <c r="E94" s="64"/>
      <c r="F94" s="6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t="13.5" customHeight="1" x14ac:dyDescent="0.3">
      <c r="A95" s="1"/>
      <c r="B95" s="1"/>
      <c r="C95" s="1"/>
      <c r="D95" s="1"/>
      <c r="E95" s="64"/>
      <c r="F95" s="6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13.5" customHeight="1" x14ac:dyDescent="0.3">
      <c r="A96" s="1"/>
      <c r="B96" s="1"/>
      <c r="C96" s="1"/>
      <c r="D96" s="1"/>
      <c r="E96" s="64"/>
      <c r="F96" s="6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t="13.5" customHeight="1" x14ac:dyDescent="0.3">
      <c r="A97" s="1"/>
      <c r="B97" s="1"/>
      <c r="C97" s="1"/>
      <c r="D97" s="1"/>
      <c r="E97" s="64"/>
      <c r="F97" s="6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13.5" customHeight="1" x14ac:dyDescent="0.3">
      <c r="A98" s="1"/>
      <c r="B98" s="1"/>
      <c r="C98" s="1"/>
      <c r="D98" s="1"/>
      <c r="E98" s="64"/>
      <c r="F98" s="6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t="13.5" customHeight="1" x14ac:dyDescent="0.3">
      <c r="A99" s="1"/>
      <c r="B99" s="1"/>
      <c r="C99" s="1"/>
      <c r="D99" s="1"/>
      <c r="E99" s="64"/>
      <c r="F99" s="6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t="13.5" customHeight="1" x14ac:dyDescent="0.3">
      <c r="A100" s="1"/>
      <c r="B100" s="1"/>
      <c r="C100" s="1"/>
      <c r="D100" s="1"/>
      <c r="E100" s="64"/>
      <c r="F100" s="6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3.5" customHeight="1" x14ac:dyDescent="0.3">
      <c r="A101" s="1"/>
      <c r="B101" s="1"/>
      <c r="C101" s="1"/>
      <c r="D101" s="1"/>
      <c r="E101" s="64"/>
      <c r="F101" s="6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13.5" customHeight="1" x14ac:dyDescent="0.3">
      <c r="A102" s="1"/>
      <c r="B102" s="1"/>
      <c r="C102" s="1"/>
      <c r="D102" s="1"/>
      <c r="E102" s="64"/>
      <c r="F102" s="6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13.5" customHeight="1" x14ac:dyDescent="0.3">
      <c r="A103" s="1"/>
      <c r="B103" s="1"/>
      <c r="C103" s="1"/>
      <c r="D103" s="1"/>
      <c r="E103" s="64"/>
      <c r="F103" s="6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13.5" customHeight="1" x14ac:dyDescent="0.3">
      <c r="A104" s="1"/>
      <c r="B104" s="1"/>
      <c r="C104" s="1"/>
      <c r="D104" s="1"/>
      <c r="E104" s="64"/>
      <c r="F104" s="6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3.5" customHeight="1" x14ac:dyDescent="0.3">
      <c r="A105" s="1"/>
      <c r="B105" s="1"/>
      <c r="C105" s="1"/>
      <c r="D105" s="1"/>
      <c r="E105" s="64"/>
      <c r="F105" s="6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3.5" customHeight="1" x14ac:dyDescent="0.3">
      <c r="A106" s="1"/>
      <c r="B106" s="1"/>
      <c r="C106" s="1"/>
      <c r="D106" s="1"/>
      <c r="E106" s="64"/>
      <c r="F106" s="6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t="13.5" customHeight="1" x14ac:dyDescent="0.3">
      <c r="A107" s="1"/>
      <c r="B107" s="1"/>
      <c r="C107" s="1"/>
      <c r="D107" s="1"/>
      <c r="E107" s="64"/>
      <c r="F107" s="6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3.5" customHeight="1" x14ac:dyDescent="0.3">
      <c r="A108" s="1"/>
      <c r="B108" s="1"/>
      <c r="C108" s="1"/>
      <c r="D108" s="1"/>
      <c r="E108" s="64"/>
      <c r="F108" s="6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t="13.5" customHeight="1" x14ac:dyDescent="0.3">
      <c r="A109" s="1"/>
      <c r="B109" s="1"/>
      <c r="C109" s="1"/>
      <c r="D109" s="1"/>
      <c r="E109" s="64"/>
      <c r="F109" s="6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t="13.5" customHeight="1" x14ac:dyDescent="0.3">
      <c r="A110" s="1"/>
      <c r="B110" s="1"/>
      <c r="C110" s="1"/>
      <c r="D110" s="1"/>
      <c r="E110" s="64"/>
      <c r="F110" s="6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ht="13.5" customHeight="1" x14ac:dyDescent="0.3">
      <c r="A111" s="1"/>
      <c r="B111" s="1"/>
      <c r="C111" s="1"/>
      <c r="D111" s="1"/>
      <c r="E111" s="64"/>
      <c r="F111" s="6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ht="13.5" customHeight="1" x14ac:dyDescent="0.3">
      <c r="A112" s="1"/>
      <c r="B112" s="1"/>
      <c r="C112" s="1"/>
      <c r="D112" s="1"/>
      <c r="E112" s="64"/>
      <c r="F112" s="6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t="13.5" customHeight="1" x14ac:dyDescent="0.3">
      <c r="A113" s="1"/>
      <c r="B113" s="1"/>
      <c r="C113" s="1"/>
      <c r="D113" s="1"/>
      <c r="E113" s="64"/>
      <c r="F113" s="6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t="13.5" customHeight="1" x14ac:dyDescent="0.3">
      <c r="A114" s="1"/>
      <c r="B114" s="1"/>
      <c r="C114" s="1"/>
      <c r="D114" s="1"/>
      <c r="E114" s="64"/>
      <c r="F114" s="6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t="13.5" customHeight="1" x14ac:dyDescent="0.3">
      <c r="A115" s="1"/>
      <c r="B115" s="1"/>
      <c r="C115" s="1"/>
      <c r="D115" s="1"/>
      <c r="E115" s="64"/>
      <c r="F115" s="6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t="13.5" customHeight="1" x14ac:dyDescent="0.3">
      <c r="A116" s="1"/>
      <c r="B116" s="1"/>
      <c r="C116" s="1"/>
      <c r="D116" s="1"/>
      <c r="E116" s="64"/>
      <c r="F116" s="6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ht="13.5" customHeight="1" x14ac:dyDescent="0.3">
      <c r="A117" s="1"/>
      <c r="B117" s="1"/>
      <c r="C117" s="1"/>
      <c r="D117" s="1"/>
      <c r="E117" s="64"/>
      <c r="F117" s="6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ht="13.5" customHeight="1" x14ac:dyDescent="0.3">
      <c r="A118" s="1"/>
      <c r="B118" s="1"/>
      <c r="C118" s="1"/>
      <c r="D118" s="1"/>
      <c r="E118" s="64"/>
      <c r="F118" s="6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t="13.5" customHeight="1" x14ac:dyDescent="0.3">
      <c r="A119" s="1"/>
      <c r="B119" s="1"/>
      <c r="C119" s="1"/>
      <c r="D119" s="1"/>
      <c r="E119" s="64"/>
      <c r="F119" s="6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t="13.5" customHeight="1" x14ac:dyDescent="0.3">
      <c r="A120" s="1"/>
      <c r="B120" s="1"/>
      <c r="C120" s="1"/>
      <c r="D120" s="1"/>
      <c r="E120" s="64"/>
      <c r="F120" s="6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ht="13.5" customHeight="1" x14ac:dyDescent="0.3">
      <c r="A121" s="1"/>
      <c r="B121" s="1"/>
      <c r="C121" s="1"/>
      <c r="D121" s="1"/>
      <c r="E121" s="64"/>
      <c r="F121" s="6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ht="13.5" customHeight="1" x14ac:dyDescent="0.3">
      <c r="A122" s="1"/>
      <c r="B122" s="1"/>
      <c r="C122" s="1"/>
      <c r="D122" s="1"/>
      <c r="E122" s="64"/>
      <c r="F122" s="6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ht="13.5" customHeight="1" x14ac:dyDescent="0.3">
      <c r="A123" s="1"/>
      <c r="B123" s="1"/>
      <c r="C123" s="1"/>
      <c r="D123" s="1"/>
      <c r="E123" s="64"/>
      <c r="F123" s="6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ht="13.5" customHeight="1" x14ac:dyDescent="0.3">
      <c r="A124" s="1"/>
      <c r="B124" s="1"/>
      <c r="C124" s="1"/>
      <c r="D124" s="1"/>
      <c r="E124" s="64"/>
      <c r="F124" s="6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ht="13.5" customHeight="1" x14ac:dyDescent="0.3">
      <c r="A125" s="1"/>
      <c r="B125" s="1"/>
      <c r="C125" s="1"/>
      <c r="D125" s="1"/>
      <c r="E125" s="64"/>
      <c r="F125" s="6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ht="13.5" customHeight="1" x14ac:dyDescent="0.3">
      <c r="A126" s="1"/>
      <c r="B126" s="1"/>
      <c r="C126" s="1"/>
      <c r="D126" s="1"/>
      <c r="E126" s="64"/>
      <c r="F126" s="6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ht="13.5" customHeight="1" x14ac:dyDescent="0.3">
      <c r="A127" s="1"/>
      <c r="B127" s="1"/>
      <c r="C127" s="1"/>
      <c r="D127" s="1"/>
      <c r="E127" s="64"/>
      <c r="F127" s="6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ht="13.5" customHeight="1" x14ac:dyDescent="0.3">
      <c r="A128" s="1"/>
      <c r="B128" s="1"/>
      <c r="C128" s="1"/>
      <c r="D128" s="1"/>
      <c r="E128" s="64"/>
      <c r="F128" s="6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ht="13.5" customHeight="1" x14ac:dyDescent="0.3">
      <c r="A129" s="1"/>
      <c r="B129" s="1"/>
      <c r="C129" s="1"/>
      <c r="D129" s="1"/>
      <c r="E129" s="64"/>
      <c r="F129" s="6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ht="13.5" customHeight="1" x14ac:dyDescent="0.3">
      <c r="A130" s="1"/>
      <c r="B130" s="1"/>
      <c r="C130" s="1"/>
      <c r="D130" s="1"/>
      <c r="E130" s="64"/>
      <c r="F130" s="6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ht="13.5" customHeight="1" x14ac:dyDescent="0.3">
      <c r="A131" s="1"/>
      <c r="B131" s="1"/>
      <c r="C131" s="1"/>
      <c r="D131" s="1"/>
      <c r="E131" s="64"/>
      <c r="F131" s="6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ht="13.5" customHeight="1" x14ac:dyDescent="0.3">
      <c r="A132" s="1"/>
      <c r="B132" s="1"/>
      <c r="C132" s="1"/>
      <c r="D132" s="1"/>
      <c r="E132" s="64"/>
      <c r="F132" s="6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ht="13.5" customHeight="1" x14ac:dyDescent="0.3">
      <c r="A133" s="1"/>
      <c r="B133" s="1"/>
      <c r="C133" s="1"/>
      <c r="D133" s="1"/>
      <c r="E133" s="64"/>
      <c r="F133" s="6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ht="13.5" customHeight="1" x14ac:dyDescent="0.3">
      <c r="A134" s="1"/>
      <c r="B134" s="1"/>
      <c r="C134" s="1"/>
      <c r="D134" s="1"/>
      <c r="E134" s="64"/>
      <c r="F134" s="6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ht="13.5" customHeight="1" x14ac:dyDescent="0.3">
      <c r="A135" s="1"/>
      <c r="B135" s="1"/>
      <c r="C135" s="1"/>
      <c r="D135" s="1"/>
      <c r="E135" s="64"/>
      <c r="F135" s="6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ht="13.5" customHeight="1" x14ac:dyDescent="0.3">
      <c r="A136" s="1"/>
      <c r="B136" s="1"/>
      <c r="C136" s="1"/>
      <c r="D136" s="1"/>
      <c r="E136" s="64"/>
      <c r="F136" s="6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ht="13.5" customHeight="1" x14ac:dyDescent="0.3">
      <c r="A137" s="1"/>
      <c r="B137" s="1"/>
      <c r="C137" s="1"/>
      <c r="D137" s="1"/>
      <c r="E137" s="64"/>
      <c r="F137" s="6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ht="13.5" customHeight="1" x14ac:dyDescent="0.3">
      <c r="A138" s="1"/>
      <c r="B138" s="1"/>
      <c r="C138" s="1"/>
      <c r="D138" s="1"/>
      <c r="E138" s="64"/>
      <c r="F138" s="6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ht="13.5" customHeight="1" x14ac:dyDescent="0.3">
      <c r="A139" s="1"/>
      <c r="B139" s="1"/>
      <c r="C139" s="1"/>
      <c r="D139" s="1"/>
      <c r="E139" s="64"/>
      <c r="F139" s="6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ht="13.5" customHeight="1" x14ac:dyDescent="0.3">
      <c r="A140" s="1"/>
      <c r="B140" s="1"/>
      <c r="C140" s="1"/>
      <c r="D140" s="1"/>
      <c r="E140" s="64"/>
      <c r="F140" s="6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ht="13.5" customHeight="1" x14ac:dyDescent="0.3">
      <c r="A141" s="1"/>
      <c r="B141" s="1"/>
      <c r="C141" s="1"/>
      <c r="D141" s="1"/>
      <c r="E141" s="64"/>
      <c r="F141" s="6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ht="13.5" customHeight="1" x14ac:dyDescent="0.3">
      <c r="A142" s="1"/>
      <c r="B142" s="1"/>
      <c r="C142" s="1"/>
      <c r="D142" s="1"/>
      <c r="E142" s="64"/>
      <c r="F142" s="6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ht="13.5" customHeight="1" x14ac:dyDescent="0.3">
      <c r="A143" s="1"/>
      <c r="B143" s="1"/>
      <c r="C143" s="1"/>
      <c r="D143" s="1"/>
      <c r="E143" s="64"/>
      <c r="F143" s="6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ht="13.5" customHeight="1" x14ac:dyDescent="0.3">
      <c r="A144" s="1"/>
      <c r="B144" s="1"/>
      <c r="C144" s="1"/>
      <c r="D144" s="1"/>
      <c r="E144" s="64"/>
      <c r="F144" s="6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ht="13.5" customHeight="1" x14ac:dyDescent="0.3">
      <c r="A145" s="1"/>
      <c r="B145" s="1"/>
      <c r="C145" s="1"/>
      <c r="D145" s="1"/>
      <c r="E145" s="64"/>
      <c r="F145" s="6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ht="13.5" customHeight="1" x14ac:dyDescent="0.3">
      <c r="A146" s="1"/>
      <c r="B146" s="1"/>
      <c r="C146" s="1"/>
      <c r="D146" s="1"/>
      <c r="E146" s="64"/>
      <c r="F146" s="6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ht="13.5" customHeight="1" x14ac:dyDescent="0.3">
      <c r="A147" s="1"/>
      <c r="B147" s="1"/>
      <c r="C147" s="1"/>
      <c r="D147" s="1"/>
      <c r="E147" s="64"/>
      <c r="F147" s="6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ht="13.5" customHeight="1" x14ac:dyDescent="0.3">
      <c r="A148" s="1"/>
      <c r="B148" s="1"/>
      <c r="C148" s="1"/>
      <c r="D148" s="1"/>
      <c r="E148" s="64"/>
      <c r="F148" s="6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ht="13.5" customHeight="1" x14ac:dyDescent="0.3">
      <c r="A149" s="1"/>
      <c r="B149" s="1"/>
      <c r="C149" s="1"/>
      <c r="D149" s="1"/>
      <c r="E149" s="64"/>
      <c r="F149" s="6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ht="13.5" customHeight="1" x14ac:dyDescent="0.3">
      <c r="A150" s="1"/>
      <c r="B150" s="1"/>
      <c r="C150" s="1"/>
      <c r="D150" s="1"/>
      <c r="E150" s="64"/>
      <c r="F150" s="6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ht="13.5" customHeight="1" x14ac:dyDescent="0.3">
      <c r="A151" s="1"/>
      <c r="B151" s="1"/>
      <c r="C151" s="1"/>
      <c r="D151" s="1"/>
      <c r="E151" s="64"/>
      <c r="F151" s="6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ht="13.5" customHeight="1" x14ac:dyDescent="0.3">
      <c r="A152" s="1"/>
      <c r="B152" s="1"/>
      <c r="C152" s="1"/>
      <c r="D152" s="1"/>
      <c r="E152" s="64"/>
      <c r="F152" s="6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ht="13.5" customHeight="1" x14ac:dyDescent="0.3">
      <c r="A153" s="1"/>
      <c r="B153" s="1"/>
      <c r="C153" s="1"/>
      <c r="D153" s="1"/>
      <c r="E153" s="64"/>
      <c r="F153" s="6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ht="13.5" customHeight="1" x14ac:dyDescent="0.3">
      <c r="A154" s="1"/>
      <c r="B154" s="1"/>
      <c r="C154" s="1"/>
      <c r="D154" s="1"/>
      <c r="E154" s="64"/>
      <c r="F154" s="6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ht="13.5" customHeight="1" x14ac:dyDescent="0.3">
      <c r="A155" s="1"/>
      <c r="B155" s="1"/>
      <c r="C155" s="1"/>
      <c r="D155" s="1"/>
      <c r="E155" s="64"/>
      <c r="F155" s="6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ht="13.5" customHeight="1" x14ac:dyDescent="0.3">
      <c r="A156" s="1"/>
      <c r="B156" s="1"/>
      <c r="C156" s="1"/>
      <c r="D156" s="1"/>
      <c r="E156" s="64"/>
      <c r="F156" s="6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ht="13.5" customHeight="1" x14ac:dyDescent="0.3">
      <c r="A157" s="1"/>
      <c r="B157" s="1"/>
      <c r="C157" s="1"/>
      <c r="D157" s="1"/>
      <c r="E157" s="64"/>
      <c r="F157" s="6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ht="13.5" customHeight="1" x14ac:dyDescent="0.3">
      <c r="A158" s="1"/>
      <c r="B158" s="1"/>
      <c r="C158" s="1"/>
      <c r="D158" s="1"/>
      <c r="E158" s="64"/>
      <c r="F158" s="6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ht="13.5" customHeight="1" x14ac:dyDescent="0.3">
      <c r="A159" s="1"/>
      <c r="B159" s="1"/>
      <c r="C159" s="1"/>
      <c r="D159" s="1"/>
      <c r="E159" s="64"/>
      <c r="F159" s="6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ht="13.5" customHeight="1" x14ac:dyDescent="0.3">
      <c r="A160" s="1"/>
      <c r="B160" s="1"/>
      <c r="C160" s="1"/>
      <c r="D160" s="1"/>
      <c r="E160" s="64"/>
      <c r="F160" s="6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ht="13.5" customHeight="1" x14ac:dyDescent="0.3">
      <c r="A161" s="1"/>
      <c r="B161" s="1"/>
      <c r="C161" s="1"/>
      <c r="D161" s="1"/>
      <c r="E161" s="64"/>
      <c r="F161" s="6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ht="13.5" customHeight="1" x14ac:dyDescent="0.3">
      <c r="A162" s="1"/>
      <c r="B162" s="1"/>
      <c r="C162" s="1"/>
      <c r="D162" s="1"/>
      <c r="E162" s="64"/>
      <c r="F162" s="6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ht="13.5" customHeight="1" x14ac:dyDescent="0.3">
      <c r="A163" s="1"/>
      <c r="B163" s="1"/>
      <c r="C163" s="1"/>
      <c r="D163" s="1"/>
      <c r="E163" s="64"/>
      <c r="F163" s="6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ht="13.5" customHeight="1" x14ac:dyDescent="0.3">
      <c r="A164" s="1"/>
      <c r="B164" s="1"/>
      <c r="C164" s="1"/>
      <c r="D164" s="1"/>
      <c r="E164" s="64"/>
      <c r="F164" s="6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ht="13.5" customHeight="1" x14ac:dyDescent="0.3">
      <c r="A165" s="1"/>
      <c r="B165" s="1"/>
      <c r="C165" s="1"/>
      <c r="D165" s="1"/>
      <c r="E165" s="64"/>
      <c r="F165" s="6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ht="13.5" customHeight="1" x14ac:dyDescent="0.3">
      <c r="A166" s="1"/>
      <c r="B166" s="1"/>
      <c r="C166" s="1"/>
      <c r="D166" s="1"/>
      <c r="E166" s="64"/>
      <c r="F166" s="6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ht="13.5" customHeight="1" x14ac:dyDescent="0.3">
      <c r="A167" s="1"/>
      <c r="B167" s="1"/>
      <c r="C167" s="1"/>
      <c r="D167" s="1"/>
      <c r="E167" s="64"/>
      <c r="F167" s="6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ht="13.5" customHeight="1" x14ac:dyDescent="0.3">
      <c r="A168" s="1"/>
      <c r="B168" s="1"/>
      <c r="C168" s="1"/>
      <c r="D168" s="1"/>
      <c r="E168" s="64"/>
      <c r="F168" s="6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ht="13.5" customHeight="1" x14ac:dyDescent="0.3">
      <c r="A169" s="1"/>
      <c r="B169" s="1"/>
      <c r="C169" s="1"/>
      <c r="D169" s="1"/>
      <c r="E169" s="64"/>
      <c r="F169" s="6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ht="13.5" customHeight="1" x14ac:dyDescent="0.3">
      <c r="A170" s="1"/>
      <c r="B170" s="1"/>
      <c r="C170" s="1"/>
      <c r="D170" s="1"/>
      <c r="E170" s="64"/>
      <c r="F170" s="6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ht="13.5" customHeight="1" x14ac:dyDescent="0.3">
      <c r="A171" s="1"/>
      <c r="B171" s="1"/>
      <c r="C171" s="1"/>
      <c r="D171" s="1"/>
      <c r="E171" s="64"/>
      <c r="F171" s="6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ht="13.5" customHeight="1" x14ac:dyDescent="0.3">
      <c r="A172" s="1"/>
      <c r="B172" s="1"/>
      <c r="C172" s="1"/>
      <c r="D172" s="1"/>
      <c r="E172" s="64"/>
      <c r="F172" s="6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ht="13.5" customHeight="1" x14ac:dyDescent="0.3">
      <c r="A173" s="1"/>
      <c r="B173" s="1"/>
      <c r="C173" s="1"/>
      <c r="D173" s="1"/>
      <c r="E173" s="64"/>
      <c r="F173" s="6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ht="13.5" customHeight="1" x14ac:dyDescent="0.3">
      <c r="A174" s="1"/>
      <c r="B174" s="1"/>
      <c r="C174" s="1"/>
      <c r="D174" s="1"/>
      <c r="E174" s="64"/>
      <c r="F174" s="6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ht="13.5" customHeight="1" x14ac:dyDescent="0.3">
      <c r="A175" s="1"/>
      <c r="B175" s="1"/>
      <c r="C175" s="1"/>
      <c r="D175" s="1"/>
      <c r="E175" s="64"/>
      <c r="F175" s="6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ht="13.5" customHeight="1" x14ac:dyDescent="0.3">
      <c r="A176" s="1"/>
      <c r="B176" s="1"/>
      <c r="C176" s="1"/>
      <c r="D176" s="1"/>
      <c r="E176" s="64"/>
      <c r="F176" s="6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ht="13.5" customHeight="1" x14ac:dyDescent="0.3">
      <c r="A177" s="1"/>
      <c r="B177" s="1"/>
      <c r="C177" s="1"/>
      <c r="D177" s="1"/>
      <c r="E177" s="64"/>
      <c r="F177" s="6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ht="13.5" customHeight="1" x14ac:dyDescent="0.3">
      <c r="A178" s="1"/>
      <c r="B178" s="1"/>
      <c r="C178" s="1"/>
      <c r="D178" s="1"/>
      <c r="E178" s="64"/>
      <c r="F178" s="6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ht="13.5" customHeight="1" x14ac:dyDescent="0.3">
      <c r="A179" s="1"/>
      <c r="B179" s="1"/>
      <c r="C179" s="1"/>
      <c r="D179" s="1"/>
      <c r="E179" s="64"/>
      <c r="F179" s="6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ht="13.5" customHeight="1" x14ac:dyDescent="0.3">
      <c r="A180" s="1"/>
      <c r="B180" s="1"/>
      <c r="C180" s="1"/>
      <c r="D180" s="1"/>
      <c r="E180" s="64"/>
      <c r="F180" s="6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ht="13.5" customHeight="1" x14ac:dyDescent="0.3">
      <c r="A181" s="1"/>
      <c r="B181" s="1"/>
      <c r="C181" s="1"/>
      <c r="D181" s="1"/>
      <c r="E181" s="64"/>
      <c r="F181" s="6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ht="13.5" customHeight="1" x14ac:dyDescent="0.3">
      <c r="A182" s="1"/>
      <c r="B182" s="1"/>
      <c r="C182" s="1"/>
      <c r="D182" s="1"/>
      <c r="E182" s="64"/>
      <c r="F182" s="6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ht="13.5" customHeight="1" x14ac:dyDescent="0.3">
      <c r="A183" s="1"/>
      <c r="B183" s="1"/>
      <c r="C183" s="1"/>
      <c r="D183" s="1"/>
      <c r="E183" s="64"/>
      <c r="F183" s="6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ht="13.5" customHeight="1" x14ac:dyDescent="0.3">
      <c r="A184" s="1"/>
      <c r="B184" s="1"/>
      <c r="C184" s="1"/>
      <c r="D184" s="1"/>
      <c r="E184" s="64"/>
      <c r="F184" s="6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ht="13.5" customHeight="1" x14ac:dyDescent="0.3">
      <c r="A185" s="1"/>
      <c r="B185" s="1"/>
      <c r="C185" s="1"/>
      <c r="D185" s="1"/>
      <c r="E185" s="64"/>
      <c r="F185" s="6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ht="13.5" customHeight="1" x14ac:dyDescent="0.3">
      <c r="A186" s="1"/>
      <c r="B186" s="1"/>
      <c r="C186" s="1"/>
      <c r="D186" s="1"/>
      <c r="E186" s="64"/>
      <c r="F186" s="6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ht="13.5" customHeight="1" x14ac:dyDescent="0.3">
      <c r="A187" s="1"/>
      <c r="B187" s="1"/>
      <c r="C187" s="1"/>
      <c r="D187" s="1"/>
      <c r="E187" s="64"/>
      <c r="F187" s="6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ht="13.5" customHeight="1" x14ac:dyDescent="0.3">
      <c r="A188" s="1"/>
      <c r="B188" s="1"/>
      <c r="C188" s="1"/>
      <c r="D188" s="1"/>
      <c r="E188" s="64"/>
      <c r="F188" s="6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ht="13.5" customHeight="1" x14ac:dyDescent="0.3">
      <c r="A189" s="1"/>
      <c r="B189" s="1"/>
      <c r="C189" s="1"/>
      <c r="D189" s="1"/>
      <c r="E189" s="64"/>
      <c r="F189" s="6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ht="13.5" customHeight="1" x14ac:dyDescent="0.3">
      <c r="A190" s="1"/>
      <c r="B190" s="1"/>
      <c r="C190" s="1"/>
      <c r="D190" s="1"/>
      <c r="E190" s="64"/>
      <c r="F190" s="6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ht="13.5" customHeight="1" x14ac:dyDescent="0.3">
      <c r="A191" s="1"/>
      <c r="B191" s="1"/>
      <c r="C191" s="1"/>
      <c r="D191" s="1"/>
      <c r="E191" s="64"/>
      <c r="F191" s="6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ht="13.5" customHeight="1" x14ac:dyDescent="0.3">
      <c r="A192" s="1"/>
      <c r="B192" s="1"/>
      <c r="C192" s="1"/>
      <c r="D192" s="1"/>
      <c r="E192" s="64"/>
      <c r="F192" s="6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ht="13.5" customHeight="1" x14ac:dyDescent="0.3">
      <c r="A193" s="1"/>
      <c r="B193" s="1"/>
      <c r="C193" s="1"/>
      <c r="D193" s="1"/>
      <c r="E193" s="64"/>
      <c r="F193" s="6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ht="13.5" customHeight="1" x14ac:dyDescent="0.3">
      <c r="A194" s="1"/>
      <c r="B194" s="1"/>
      <c r="C194" s="1"/>
      <c r="D194" s="1"/>
      <c r="E194" s="64"/>
      <c r="F194" s="6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ht="13.5" customHeight="1" x14ac:dyDescent="0.3">
      <c r="A195" s="1"/>
      <c r="B195" s="1"/>
      <c r="C195" s="1"/>
      <c r="D195" s="1"/>
      <c r="E195" s="64"/>
      <c r="F195" s="6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ht="13.5" customHeight="1" x14ac:dyDescent="0.3">
      <c r="A196" s="1"/>
      <c r="B196" s="1"/>
      <c r="C196" s="1"/>
      <c r="D196" s="1"/>
      <c r="E196" s="64"/>
      <c r="F196" s="6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ht="13.5" customHeight="1" x14ac:dyDescent="0.3">
      <c r="A197" s="1"/>
      <c r="B197" s="1"/>
      <c r="C197" s="1"/>
      <c r="D197" s="1"/>
      <c r="E197" s="64"/>
      <c r="F197" s="6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ht="13.5" customHeight="1" x14ac:dyDescent="0.3">
      <c r="A198" s="1"/>
      <c r="B198" s="1"/>
      <c r="C198" s="1"/>
      <c r="D198" s="1"/>
      <c r="E198" s="64"/>
      <c r="F198" s="6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ht="13.5" customHeight="1" x14ac:dyDescent="0.3">
      <c r="A199" s="1"/>
      <c r="B199" s="1"/>
      <c r="C199" s="1"/>
      <c r="D199" s="1"/>
      <c r="E199" s="64"/>
      <c r="F199" s="6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ht="13.5" customHeight="1" x14ac:dyDescent="0.3">
      <c r="A200" s="1"/>
      <c r="B200" s="1"/>
      <c r="C200" s="1"/>
      <c r="D200" s="1"/>
      <c r="E200" s="64"/>
      <c r="F200" s="6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ht="13.5" customHeight="1" x14ac:dyDescent="0.3">
      <c r="A201" s="1"/>
      <c r="B201" s="1"/>
      <c r="C201" s="1"/>
      <c r="D201" s="1"/>
      <c r="E201" s="64"/>
      <c r="F201" s="6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ht="13.5" customHeight="1" x14ac:dyDescent="0.3">
      <c r="A202" s="1"/>
      <c r="B202" s="1"/>
      <c r="C202" s="1"/>
      <c r="D202" s="1"/>
      <c r="E202" s="64"/>
      <c r="F202" s="6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ht="13.5" customHeight="1" x14ac:dyDescent="0.3">
      <c r="A203" s="1"/>
      <c r="B203" s="1"/>
      <c r="C203" s="1"/>
      <c r="D203" s="1"/>
      <c r="E203" s="64"/>
      <c r="F203" s="6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ht="13.5" customHeight="1" x14ac:dyDescent="0.3">
      <c r="A204" s="1"/>
      <c r="B204" s="1"/>
      <c r="C204" s="1"/>
      <c r="D204" s="1"/>
      <c r="E204" s="64"/>
      <c r="F204" s="6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ht="13.5" customHeight="1" x14ac:dyDescent="0.3">
      <c r="A205" s="1"/>
      <c r="B205" s="1"/>
      <c r="C205" s="1"/>
      <c r="D205" s="1"/>
      <c r="E205" s="64"/>
      <c r="F205" s="6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ht="13.5" customHeight="1" x14ac:dyDescent="0.3">
      <c r="A206" s="1"/>
      <c r="B206" s="1"/>
      <c r="C206" s="1"/>
      <c r="D206" s="1"/>
      <c r="E206" s="64"/>
      <c r="F206" s="6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ht="13.5" customHeight="1" x14ac:dyDescent="0.3">
      <c r="A207" s="1"/>
      <c r="B207" s="1"/>
      <c r="C207" s="1"/>
      <c r="D207" s="1"/>
      <c r="E207" s="64"/>
      <c r="F207" s="6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ht="13.5" customHeight="1" x14ac:dyDescent="0.3">
      <c r="A208" s="1"/>
      <c r="B208" s="1"/>
      <c r="C208" s="1"/>
      <c r="D208" s="1"/>
      <c r="E208" s="64"/>
      <c r="F208" s="6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ht="13.5" customHeight="1" x14ac:dyDescent="0.3">
      <c r="A209" s="1"/>
      <c r="B209" s="1"/>
      <c r="C209" s="1"/>
      <c r="D209" s="1"/>
      <c r="E209" s="64"/>
      <c r="F209" s="6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ht="13.5" customHeight="1" x14ac:dyDescent="0.3">
      <c r="A210" s="1"/>
      <c r="B210" s="1"/>
      <c r="C210" s="1"/>
      <c r="D210" s="1"/>
      <c r="E210" s="64"/>
      <c r="F210" s="6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ht="13.5" customHeight="1" x14ac:dyDescent="0.3">
      <c r="A211" s="1"/>
      <c r="B211" s="1"/>
      <c r="C211" s="1"/>
      <c r="D211" s="1"/>
      <c r="E211" s="64"/>
      <c r="F211" s="6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ht="13.5" customHeight="1" x14ac:dyDescent="0.3">
      <c r="A212" s="1"/>
      <c r="B212" s="1"/>
      <c r="C212" s="1"/>
      <c r="D212" s="1"/>
      <c r="E212" s="64"/>
      <c r="F212" s="6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ht="13.5" customHeight="1" x14ac:dyDescent="0.3">
      <c r="A213" s="1"/>
      <c r="B213" s="1"/>
      <c r="C213" s="1"/>
      <c r="D213" s="1"/>
      <c r="E213" s="64"/>
      <c r="F213" s="6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ht="13.5" customHeight="1" x14ac:dyDescent="0.3">
      <c r="A214" s="1"/>
      <c r="B214" s="1"/>
      <c r="C214" s="1"/>
      <c r="D214" s="1"/>
      <c r="E214" s="64"/>
      <c r="F214" s="6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ht="13.5" customHeight="1" x14ac:dyDescent="0.3">
      <c r="A215" s="1"/>
      <c r="B215" s="1"/>
      <c r="C215" s="1"/>
      <c r="D215" s="1"/>
      <c r="E215" s="64"/>
      <c r="F215" s="6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ht="13.5" customHeight="1" x14ac:dyDescent="0.3">
      <c r="A216" s="1"/>
      <c r="B216" s="1"/>
      <c r="C216" s="1"/>
      <c r="D216" s="1"/>
      <c r="E216" s="64"/>
      <c r="F216" s="6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ht="13.5" customHeight="1" x14ac:dyDescent="0.3">
      <c r="A217" s="1"/>
      <c r="B217" s="1"/>
      <c r="C217" s="1"/>
      <c r="D217" s="1"/>
      <c r="E217" s="64"/>
      <c r="F217" s="6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ht="13.5" customHeight="1" x14ac:dyDescent="0.3">
      <c r="A218" s="1"/>
      <c r="B218" s="1"/>
      <c r="C218" s="1"/>
      <c r="D218" s="1"/>
      <c r="E218" s="64"/>
      <c r="F218" s="6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ht="13.5" customHeight="1" x14ac:dyDescent="0.3">
      <c r="A219" s="1"/>
      <c r="B219" s="1"/>
      <c r="C219" s="1"/>
      <c r="D219" s="1"/>
      <c r="E219" s="64"/>
      <c r="F219" s="6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ht="13.5" customHeight="1" x14ac:dyDescent="0.3">
      <c r="A220" s="1"/>
      <c r="B220" s="1"/>
      <c r="C220" s="1"/>
      <c r="D220" s="1"/>
      <c r="E220" s="64"/>
      <c r="F220" s="6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ht="13.5" customHeight="1" x14ac:dyDescent="0.3">
      <c r="A221" s="1"/>
      <c r="B221" s="1"/>
      <c r="C221" s="1"/>
      <c r="D221" s="1"/>
      <c r="E221" s="64"/>
      <c r="F221" s="6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ht="13.5" customHeight="1" x14ac:dyDescent="0.3">
      <c r="A222" s="1"/>
      <c r="B222" s="1"/>
      <c r="C222" s="1"/>
      <c r="D222" s="1"/>
      <c r="E222" s="64"/>
      <c r="F222" s="6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ht="13.5" customHeight="1" x14ac:dyDescent="0.3">
      <c r="A223" s="1"/>
      <c r="B223" s="1"/>
      <c r="C223" s="1"/>
      <c r="D223" s="1"/>
      <c r="E223" s="64"/>
      <c r="F223" s="6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ht="13.5" customHeight="1" x14ac:dyDescent="0.3">
      <c r="A224" s="1"/>
      <c r="B224" s="1"/>
      <c r="C224" s="1"/>
      <c r="D224" s="1"/>
      <c r="E224" s="64"/>
      <c r="F224" s="6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ht="13.5" customHeight="1" x14ac:dyDescent="0.3">
      <c r="A225" s="1"/>
      <c r="B225" s="1"/>
      <c r="C225" s="1"/>
      <c r="D225" s="1"/>
      <c r="E225" s="64"/>
      <c r="F225" s="6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ht="13.5" customHeight="1" x14ac:dyDescent="0.3">
      <c r="A226" s="1"/>
      <c r="B226" s="1"/>
      <c r="C226" s="1"/>
      <c r="D226" s="1"/>
      <c r="E226" s="64"/>
      <c r="F226" s="6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ht="13.5" customHeight="1" x14ac:dyDescent="0.3">
      <c r="A227" s="1"/>
      <c r="B227" s="1"/>
      <c r="C227" s="1"/>
      <c r="D227" s="1"/>
      <c r="E227" s="64"/>
      <c r="F227" s="6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ht="13.5" customHeight="1" x14ac:dyDescent="0.3">
      <c r="A228" s="1"/>
      <c r="B228" s="1"/>
      <c r="C228" s="1"/>
      <c r="D228" s="1"/>
      <c r="E228" s="64"/>
      <c r="F228" s="6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ht="13.5" customHeight="1" x14ac:dyDescent="0.3">
      <c r="A229" s="1"/>
      <c r="B229" s="1"/>
      <c r="C229" s="1"/>
      <c r="D229" s="1"/>
      <c r="E229" s="64"/>
      <c r="F229" s="6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ht="13.5" customHeight="1" x14ac:dyDescent="0.3">
      <c r="A230" s="1"/>
      <c r="B230" s="1"/>
      <c r="C230" s="1"/>
      <c r="D230" s="1"/>
      <c r="E230" s="64"/>
      <c r="F230" s="6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ht="13.5" customHeight="1" x14ac:dyDescent="0.3">
      <c r="A231" s="1"/>
      <c r="B231" s="1"/>
      <c r="C231" s="1"/>
      <c r="D231" s="1"/>
      <c r="E231" s="64"/>
      <c r="F231" s="6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ht="13.5" customHeight="1" x14ac:dyDescent="0.3">
      <c r="A232" s="1"/>
      <c r="B232" s="1"/>
      <c r="C232" s="1"/>
      <c r="D232" s="1"/>
      <c r="E232" s="64"/>
      <c r="F232" s="6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ht="13.5" customHeight="1" x14ac:dyDescent="0.3">
      <c r="A233" s="1"/>
      <c r="B233" s="1"/>
      <c r="C233" s="1"/>
      <c r="D233" s="1"/>
      <c r="E233" s="64"/>
      <c r="F233" s="6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ht="13.5" customHeight="1" x14ac:dyDescent="0.3">
      <c r="A234" s="1"/>
      <c r="B234" s="1"/>
      <c r="C234" s="1"/>
      <c r="D234" s="1"/>
      <c r="E234" s="64"/>
      <c r="F234" s="6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ht="13.5" customHeight="1" x14ac:dyDescent="0.3">
      <c r="A235" s="1"/>
      <c r="B235" s="1"/>
      <c r="C235" s="1"/>
      <c r="D235" s="1"/>
      <c r="E235" s="64"/>
      <c r="F235" s="6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ht="13.5" customHeight="1" x14ac:dyDescent="0.3">
      <c r="A236" s="1"/>
      <c r="B236" s="1"/>
      <c r="C236" s="1"/>
      <c r="D236" s="1"/>
      <c r="E236" s="64"/>
      <c r="F236" s="6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ht="13.5" customHeight="1" x14ac:dyDescent="0.3">
      <c r="A237" s="1"/>
      <c r="B237" s="1"/>
      <c r="C237" s="1"/>
      <c r="D237" s="1"/>
      <c r="E237" s="64"/>
      <c r="F237" s="6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ht="13.5" customHeight="1" x14ac:dyDescent="0.3">
      <c r="A238" s="1"/>
      <c r="B238" s="1"/>
      <c r="C238" s="1"/>
      <c r="D238" s="1"/>
      <c r="E238" s="64"/>
      <c r="F238" s="6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ht="13.5" customHeight="1" x14ac:dyDescent="0.3">
      <c r="A239" s="1"/>
      <c r="B239" s="1"/>
      <c r="C239" s="1"/>
      <c r="D239" s="1"/>
      <c r="E239" s="64"/>
      <c r="F239" s="6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ht="13.5" customHeight="1" x14ac:dyDescent="0.3">
      <c r="A240" s="1"/>
      <c r="B240" s="1"/>
      <c r="C240" s="1"/>
      <c r="D240" s="1"/>
      <c r="E240" s="64"/>
      <c r="F240" s="6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ht="13.5" customHeight="1" x14ac:dyDescent="0.3">
      <c r="A241" s="1"/>
      <c r="B241" s="1"/>
      <c r="C241" s="1"/>
      <c r="D241" s="1"/>
      <c r="E241" s="64"/>
      <c r="F241" s="6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ht="13.5" customHeight="1" x14ac:dyDescent="0.3">
      <c r="A242" s="1"/>
      <c r="B242" s="1"/>
      <c r="C242" s="1"/>
      <c r="D242" s="1"/>
      <c r="E242" s="64"/>
      <c r="F242" s="6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ht="13.5" customHeight="1" x14ac:dyDescent="0.3">
      <c r="A243" s="1"/>
      <c r="B243" s="1"/>
      <c r="C243" s="1"/>
      <c r="D243" s="1"/>
      <c r="E243" s="64"/>
      <c r="F243" s="6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ht="13.5" customHeight="1" x14ac:dyDescent="0.3">
      <c r="A244" s="1"/>
      <c r="B244" s="1"/>
      <c r="C244" s="1"/>
      <c r="D244" s="1"/>
      <c r="E244" s="64"/>
      <c r="F244" s="6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ht="13.5" customHeight="1" x14ac:dyDescent="0.3">
      <c r="A245" s="1"/>
      <c r="B245" s="1"/>
      <c r="C245" s="1"/>
      <c r="D245" s="1"/>
      <c r="E245" s="64"/>
      <c r="F245" s="6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ht="13.5" customHeight="1" x14ac:dyDescent="0.3">
      <c r="A246" s="1"/>
      <c r="B246" s="181"/>
      <c r="C246" s="181"/>
      <c r="D246" s="181"/>
      <c r="E246" s="182"/>
      <c r="F246" s="182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81"/>
      <c r="AJ246" s="181"/>
      <c r="AK246" s="181"/>
      <c r="AL246" s="181"/>
      <c r="AM246" s="181"/>
      <c r="AN246" s="181"/>
      <c r="AO246" s="181"/>
      <c r="AP246" s="181"/>
      <c r="AQ246" s="181"/>
      <c r="AR246" s="181"/>
      <c r="AS246" s="181"/>
      <c r="AT246" s="181"/>
      <c r="AU246" s="181"/>
      <c r="AV246" s="181"/>
      <c r="AW246" s="181"/>
    </row>
    <row r="247" spans="1:49" ht="13.5" customHeight="1" x14ac:dyDescent="0.3">
      <c r="A247" s="1"/>
      <c r="B247" s="181"/>
      <c r="C247" s="181"/>
      <c r="D247" s="181"/>
      <c r="E247" s="182"/>
      <c r="F247" s="182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81"/>
      <c r="AJ247" s="181"/>
      <c r="AK247" s="181"/>
      <c r="AL247" s="181"/>
      <c r="AM247" s="181"/>
      <c r="AN247" s="181"/>
      <c r="AO247" s="181"/>
      <c r="AP247" s="181"/>
      <c r="AQ247" s="181"/>
      <c r="AR247" s="181"/>
      <c r="AS247" s="181"/>
      <c r="AT247" s="181"/>
      <c r="AU247" s="181"/>
      <c r="AV247" s="181"/>
      <c r="AW247" s="181"/>
    </row>
    <row r="248" spans="1:49" ht="13.5" customHeight="1" x14ac:dyDescent="0.3">
      <c r="A248" s="1"/>
      <c r="B248" s="181"/>
      <c r="C248" s="181"/>
      <c r="D248" s="181"/>
      <c r="E248" s="182"/>
      <c r="F248" s="182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81"/>
      <c r="AJ248" s="181"/>
      <c r="AK248" s="181"/>
      <c r="AL248" s="181"/>
      <c r="AM248" s="181"/>
      <c r="AN248" s="181"/>
      <c r="AO248" s="181"/>
      <c r="AP248" s="181"/>
      <c r="AQ248" s="181"/>
      <c r="AR248" s="181"/>
      <c r="AS248" s="181"/>
      <c r="AT248" s="181"/>
      <c r="AU248" s="181"/>
      <c r="AV248" s="181"/>
      <c r="AW248" s="181"/>
    </row>
    <row r="249" spans="1:49" ht="13.5" customHeight="1" x14ac:dyDescent="0.3">
      <c r="A249" s="1"/>
      <c r="B249" s="181"/>
      <c r="C249" s="181"/>
      <c r="D249" s="181"/>
      <c r="E249" s="182"/>
      <c r="F249" s="182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81"/>
      <c r="AJ249" s="181"/>
      <c r="AK249" s="181"/>
      <c r="AL249" s="181"/>
      <c r="AM249" s="181"/>
      <c r="AN249" s="181"/>
      <c r="AO249" s="181"/>
      <c r="AP249" s="181"/>
      <c r="AQ249" s="181"/>
      <c r="AR249" s="181"/>
      <c r="AS249" s="181"/>
      <c r="AT249" s="181"/>
      <c r="AU249" s="181"/>
      <c r="AV249" s="181"/>
      <c r="AW249" s="181"/>
    </row>
    <row r="250" spans="1:49" ht="13.5" customHeight="1" x14ac:dyDescent="0.3">
      <c r="A250" s="1"/>
      <c r="B250" s="181"/>
      <c r="C250" s="181"/>
      <c r="D250" s="181"/>
      <c r="E250" s="182"/>
      <c r="F250" s="182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81"/>
      <c r="AI250" s="181"/>
      <c r="AJ250" s="181"/>
      <c r="AK250" s="181"/>
      <c r="AL250" s="181"/>
      <c r="AM250" s="181"/>
      <c r="AN250" s="181"/>
      <c r="AO250" s="181"/>
      <c r="AP250" s="181"/>
      <c r="AQ250" s="181"/>
      <c r="AR250" s="181"/>
      <c r="AS250" s="181"/>
      <c r="AT250" s="181"/>
      <c r="AU250" s="181"/>
      <c r="AV250" s="181"/>
      <c r="AW250" s="181"/>
    </row>
    <row r="251" spans="1:49" ht="13.5" customHeight="1" x14ac:dyDescent="0.3">
      <c r="A251" s="1"/>
      <c r="B251" s="181"/>
      <c r="C251" s="181"/>
      <c r="D251" s="181"/>
      <c r="E251" s="182"/>
      <c r="F251" s="182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  <c r="AC251" s="181"/>
      <c r="AD251" s="181"/>
      <c r="AE251" s="181"/>
      <c r="AF251" s="181"/>
      <c r="AG251" s="181"/>
      <c r="AH251" s="181"/>
      <c r="AI251" s="181"/>
      <c r="AJ251" s="181"/>
      <c r="AK251" s="181"/>
      <c r="AL251" s="181"/>
      <c r="AM251" s="181"/>
      <c r="AN251" s="181"/>
      <c r="AO251" s="181"/>
      <c r="AP251" s="181"/>
      <c r="AQ251" s="181"/>
      <c r="AR251" s="181"/>
      <c r="AS251" s="181"/>
      <c r="AT251" s="181"/>
      <c r="AU251" s="181"/>
      <c r="AV251" s="181"/>
      <c r="AW251" s="181"/>
    </row>
    <row r="252" spans="1:49" ht="13.5" customHeight="1" x14ac:dyDescent="0.3">
      <c r="A252" s="1"/>
      <c r="B252" s="181"/>
      <c r="C252" s="181"/>
      <c r="D252" s="181"/>
      <c r="E252" s="182"/>
      <c r="F252" s="182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  <c r="AC252" s="181"/>
      <c r="AD252" s="181"/>
      <c r="AE252" s="181"/>
      <c r="AF252" s="181"/>
      <c r="AG252" s="181"/>
      <c r="AH252" s="181"/>
      <c r="AI252" s="181"/>
      <c r="AJ252" s="181"/>
      <c r="AK252" s="181"/>
      <c r="AL252" s="181"/>
      <c r="AM252" s="181"/>
      <c r="AN252" s="181"/>
      <c r="AO252" s="181"/>
      <c r="AP252" s="181"/>
      <c r="AQ252" s="181"/>
      <c r="AR252" s="181"/>
      <c r="AS252" s="181"/>
      <c r="AT252" s="181"/>
      <c r="AU252" s="181"/>
      <c r="AV252" s="181"/>
      <c r="AW252" s="181"/>
    </row>
    <row r="253" spans="1:49" ht="13.5" customHeight="1" x14ac:dyDescent="0.3">
      <c r="A253" s="1"/>
      <c r="B253" s="181"/>
      <c r="C253" s="181"/>
      <c r="D253" s="181"/>
      <c r="E253" s="182"/>
      <c r="F253" s="182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  <c r="AC253" s="181"/>
      <c r="AD253" s="181"/>
      <c r="AE253" s="181"/>
      <c r="AF253" s="181"/>
      <c r="AG253" s="181"/>
      <c r="AH253" s="181"/>
      <c r="AI253" s="181"/>
      <c r="AJ253" s="181"/>
      <c r="AK253" s="181"/>
      <c r="AL253" s="181"/>
      <c r="AM253" s="181"/>
      <c r="AN253" s="181"/>
      <c r="AO253" s="181"/>
      <c r="AP253" s="181"/>
      <c r="AQ253" s="181"/>
      <c r="AR253" s="181"/>
      <c r="AS253" s="181"/>
      <c r="AT253" s="181"/>
      <c r="AU253" s="181"/>
      <c r="AV253" s="181"/>
      <c r="AW253" s="181"/>
    </row>
    <row r="254" spans="1:49" ht="13.5" customHeight="1" x14ac:dyDescent="0.3">
      <c r="A254" s="1"/>
      <c r="B254" s="181"/>
      <c r="C254" s="181"/>
      <c r="D254" s="181"/>
      <c r="E254" s="182"/>
      <c r="F254" s="182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  <c r="AC254" s="181"/>
      <c r="AD254" s="181"/>
      <c r="AE254" s="181"/>
      <c r="AF254" s="181"/>
      <c r="AG254" s="181"/>
      <c r="AH254" s="181"/>
      <c r="AI254" s="181"/>
      <c r="AJ254" s="181"/>
      <c r="AK254" s="181"/>
      <c r="AL254" s="181"/>
      <c r="AM254" s="181"/>
      <c r="AN254" s="181"/>
      <c r="AO254" s="181"/>
      <c r="AP254" s="181"/>
      <c r="AQ254" s="181"/>
      <c r="AR254" s="181"/>
      <c r="AS254" s="181"/>
      <c r="AT254" s="181"/>
      <c r="AU254" s="181"/>
      <c r="AV254" s="181"/>
      <c r="AW254" s="181"/>
    </row>
    <row r="255" spans="1:49" ht="13.5" customHeight="1" x14ac:dyDescent="0.3">
      <c r="A255" s="1"/>
      <c r="B255" s="181"/>
      <c r="C255" s="181"/>
      <c r="D255" s="181"/>
      <c r="E255" s="182"/>
      <c r="F255" s="182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  <c r="AC255" s="181"/>
      <c r="AD255" s="181"/>
      <c r="AE255" s="181"/>
      <c r="AF255" s="181"/>
      <c r="AG255" s="181"/>
      <c r="AH255" s="181"/>
      <c r="AI255" s="181"/>
      <c r="AJ255" s="181"/>
      <c r="AK255" s="181"/>
      <c r="AL255" s="181"/>
      <c r="AM255" s="181"/>
      <c r="AN255" s="181"/>
      <c r="AO255" s="181"/>
      <c r="AP255" s="181"/>
      <c r="AQ255" s="181"/>
      <c r="AR255" s="181"/>
      <c r="AS255" s="181"/>
      <c r="AT255" s="181"/>
      <c r="AU255" s="181"/>
      <c r="AV255" s="181"/>
      <c r="AW255" s="181"/>
    </row>
    <row r="256" spans="1:49" ht="13.5" customHeight="1" x14ac:dyDescent="0.3">
      <c r="A256" s="1"/>
      <c r="B256" s="181"/>
      <c r="C256" s="181"/>
      <c r="D256" s="181"/>
      <c r="E256" s="182"/>
      <c r="F256" s="182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  <c r="AC256" s="181"/>
      <c r="AD256" s="181"/>
      <c r="AE256" s="181"/>
      <c r="AF256" s="181"/>
      <c r="AG256" s="181"/>
      <c r="AH256" s="181"/>
      <c r="AI256" s="181"/>
      <c r="AJ256" s="181"/>
      <c r="AK256" s="181"/>
      <c r="AL256" s="181"/>
      <c r="AM256" s="181"/>
      <c r="AN256" s="181"/>
      <c r="AO256" s="181"/>
      <c r="AP256" s="181"/>
      <c r="AQ256" s="181"/>
      <c r="AR256" s="181"/>
      <c r="AS256" s="181"/>
      <c r="AT256" s="181"/>
      <c r="AU256" s="181"/>
      <c r="AV256" s="181"/>
      <c r="AW256" s="181"/>
    </row>
    <row r="257" spans="1:49" ht="13.5" customHeight="1" x14ac:dyDescent="0.3">
      <c r="A257" s="1"/>
      <c r="B257" s="181"/>
      <c r="C257" s="181"/>
      <c r="D257" s="181"/>
      <c r="E257" s="182"/>
      <c r="F257" s="182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  <c r="AC257" s="181"/>
      <c r="AD257" s="181"/>
      <c r="AE257" s="181"/>
      <c r="AF257" s="181"/>
      <c r="AG257" s="181"/>
      <c r="AH257" s="181"/>
      <c r="AI257" s="181"/>
      <c r="AJ257" s="181"/>
      <c r="AK257" s="181"/>
      <c r="AL257" s="181"/>
      <c r="AM257" s="181"/>
      <c r="AN257" s="181"/>
      <c r="AO257" s="181"/>
      <c r="AP257" s="181"/>
      <c r="AQ257" s="181"/>
      <c r="AR257" s="181"/>
      <c r="AS257" s="181"/>
      <c r="AT257" s="181"/>
      <c r="AU257" s="181"/>
      <c r="AV257" s="181"/>
      <c r="AW257" s="181"/>
    </row>
    <row r="258" spans="1:49" ht="13.5" customHeight="1" x14ac:dyDescent="0.3">
      <c r="A258" s="1"/>
      <c r="B258" s="181"/>
      <c r="C258" s="181"/>
      <c r="D258" s="181"/>
      <c r="E258" s="182"/>
      <c r="F258" s="182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81"/>
      <c r="AJ258" s="181"/>
      <c r="AK258" s="181"/>
      <c r="AL258" s="181"/>
      <c r="AM258" s="181"/>
      <c r="AN258" s="181"/>
      <c r="AO258" s="181"/>
      <c r="AP258" s="181"/>
      <c r="AQ258" s="181"/>
      <c r="AR258" s="181"/>
      <c r="AS258" s="181"/>
      <c r="AT258" s="181"/>
      <c r="AU258" s="181"/>
      <c r="AV258" s="181"/>
      <c r="AW258" s="181"/>
    </row>
    <row r="259" spans="1:49" ht="13.5" customHeight="1" x14ac:dyDescent="0.3">
      <c r="A259" s="1"/>
      <c r="B259" s="181"/>
      <c r="C259" s="181"/>
      <c r="D259" s="181"/>
      <c r="E259" s="182"/>
      <c r="F259" s="182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81"/>
      <c r="AJ259" s="181"/>
      <c r="AK259" s="181"/>
      <c r="AL259" s="181"/>
      <c r="AM259" s="181"/>
      <c r="AN259" s="181"/>
      <c r="AO259" s="181"/>
      <c r="AP259" s="181"/>
      <c r="AQ259" s="181"/>
      <c r="AR259" s="181"/>
      <c r="AS259" s="181"/>
      <c r="AT259" s="181"/>
      <c r="AU259" s="181"/>
      <c r="AV259" s="181"/>
      <c r="AW259" s="181"/>
    </row>
    <row r="260" spans="1:49" ht="13.5" customHeight="1" x14ac:dyDescent="0.3">
      <c r="A260" s="1"/>
      <c r="B260" s="181"/>
      <c r="C260" s="181"/>
      <c r="D260" s="181"/>
      <c r="E260" s="182"/>
      <c r="F260" s="182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81"/>
      <c r="AJ260" s="181"/>
      <c r="AK260" s="181"/>
      <c r="AL260" s="181"/>
      <c r="AM260" s="181"/>
      <c r="AN260" s="181"/>
      <c r="AO260" s="181"/>
      <c r="AP260" s="181"/>
      <c r="AQ260" s="181"/>
      <c r="AR260" s="181"/>
      <c r="AS260" s="181"/>
      <c r="AT260" s="181"/>
      <c r="AU260" s="181"/>
      <c r="AV260" s="181"/>
      <c r="AW260" s="181"/>
    </row>
    <row r="261" spans="1:49" ht="13.5" customHeight="1" x14ac:dyDescent="0.3">
      <c r="A261" s="1"/>
      <c r="B261" s="181"/>
      <c r="C261" s="181"/>
      <c r="D261" s="181"/>
      <c r="E261" s="182"/>
      <c r="F261" s="182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81"/>
      <c r="AJ261" s="181"/>
      <c r="AK261" s="181"/>
      <c r="AL261" s="181"/>
      <c r="AM261" s="181"/>
      <c r="AN261" s="181"/>
      <c r="AO261" s="181"/>
      <c r="AP261" s="181"/>
      <c r="AQ261" s="181"/>
      <c r="AR261" s="181"/>
      <c r="AS261" s="181"/>
      <c r="AT261" s="181"/>
      <c r="AU261" s="181"/>
      <c r="AV261" s="181"/>
      <c r="AW261" s="181"/>
    </row>
    <row r="262" spans="1:49" ht="13.5" customHeight="1" x14ac:dyDescent="0.3">
      <c r="A262" s="1"/>
      <c r="B262" s="181"/>
      <c r="C262" s="181"/>
      <c r="D262" s="181"/>
      <c r="E262" s="182"/>
      <c r="F262" s="182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81"/>
      <c r="AJ262" s="181"/>
      <c r="AK262" s="181"/>
      <c r="AL262" s="181"/>
      <c r="AM262" s="181"/>
      <c r="AN262" s="181"/>
      <c r="AO262" s="181"/>
      <c r="AP262" s="181"/>
      <c r="AQ262" s="181"/>
      <c r="AR262" s="181"/>
      <c r="AS262" s="181"/>
      <c r="AT262" s="181"/>
      <c r="AU262" s="181"/>
      <c r="AV262" s="181"/>
      <c r="AW262" s="181"/>
    </row>
    <row r="263" spans="1:49" ht="13.5" customHeight="1" x14ac:dyDescent="0.3">
      <c r="A263" s="1"/>
      <c r="B263" s="181"/>
      <c r="C263" s="181"/>
      <c r="D263" s="181"/>
      <c r="E263" s="182"/>
      <c r="F263" s="182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81"/>
      <c r="AJ263" s="181"/>
      <c r="AK263" s="181"/>
      <c r="AL263" s="181"/>
      <c r="AM263" s="181"/>
      <c r="AN263" s="181"/>
      <c r="AO263" s="181"/>
      <c r="AP263" s="181"/>
      <c r="AQ263" s="181"/>
      <c r="AR263" s="181"/>
      <c r="AS263" s="181"/>
      <c r="AT263" s="181"/>
      <c r="AU263" s="181"/>
      <c r="AV263" s="181"/>
      <c r="AW263" s="181"/>
    </row>
    <row r="264" spans="1:49" ht="13.5" customHeight="1" x14ac:dyDescent="0.3">
      <c r="A264" s="1"/>
      <c r="B264" s="181"/>
      <c r="C264" s="181"/>
      <c r="D264" s="181"/>
      <c r="E264" s="182"/>
      <c r="F264" s="182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81"/>
      <c r="AJ264" s="181"/>
      <c r="AK264" s="181"/>
      <c r="AL264" s="181"/>
      <c r="AM264" s="181"/>
      <c r="AN264" s="181"/>
      <c r="AO264" s="181"/>
      <c r="AP264" s="181"/>
      <c r="AQ264" s="181"/>
      <c r="AR264" s="181"/>
      <c r="AS264" s="181"/>
      <c r="AT264" s="181"/>
      <c r="AU264" s="181"/>
      <c r="AV264" s="181"/>
      <c r="AW264" s="181"/>
    </row>
    <row r="265" spans="1:49" ht="13.5" customHeight="1" x14ac:dyDescent="0.3">
      <c r="A265" s="1"/>
      <c r="B265" s="181"/>
      <c r="C265" s="181"/>
      <c r="D265" s="181"/>
      <c r="E265" s="182"/>
      <c r="F265" s="182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81"/>
      <c r="AJ265" s="181"/>
      <c r="AK265" s="181"/>
      <c r="AL265" s="181"/>
      <c r="AM265" s="181"/>
      <c r="AN265" s="181"/>
      <c r="AO265" s="181"/>
      <c r="AP265" s="181"/>
      <c r="AQ265" s="181"/>
      <c r="AR265" s="181"/>
      <c r="AS265" s="181"/>
      <c r="AT265" s="181"/>
      <c r="AU265" s="181"/>
      <c r="AV265" s="181"/>
      <c r="AW265" s="181"/>
    </row>
    <row r="266" spans="1:49" ht="13.5" customHeight="1" x14ac:dyDescent="0.3">
      <c r="A266" s="1"/>
      <c r="B266" s="181"/>
      <c r="C266" s="181"/>
      <c r="D266" s="181"/>
      <c r="E266" s="182"/>
      <c r="F266" s="182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81"/>
      <c r="AJ266" s="181"/>
      <c r="AK266" s="181"/>
      <c r="AL266" s="181"/>
      <c r="AM266" s="181"/>
      <c r="AN266" s="181"/>
      <c r="AO266" s="181"/>
      <c r="AP266" s="181"/>
      <c r="AQ266" s="181"/>
      <c r="AR266" s="181"/>
      <c r="AS266" s="181"/>
      <c r="AT266" s="181"/>
      <c r="AU266" s="181"/>
      <c r="AV266" s="181"/>
      <c r="AW266" s="181"/>
    </row>
    <row r="267" spans="1:49" ht="13.5" customHeight="1" x14ac:dyDescent="0.3">
      <c r="A267" s="1"/>
      <c r="B267" s="181"/>
      <c r="C267" s="181"/>
      <c r="D267" s="181"/>
      <c r="E267" s="182"/>
      <c r="F267" s="182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81"/>
      <c r="AJ267" s="181"/>
      <c r="AK267" s="181"/>
      <c r="AL267" s="181"/>
      <c r="AM267" s="181"/>
      <c r="AN267" s="181"/>
      <c r="AO267" s="181"/>
      <c r="AP267" s="181"/>
      <c r="AQ267" s="181"/>
      <c r="AR267" s="181"/>
      <c r="AS267" s="181"/>
      <c r="AT267" s="181"/>
      <c r="AU267" s="181"/>
      <c r="AV267" s="181"/>
      <c r="AW267" s="181"/>
    </row>
    <row r="268" spans="1:49" ht="13.5" customHeight="1" x14ac:dyDescent="0.3">
      <c r="A268" s="1"/>
      <c r="B268" s="181"/>
      <c r="C268" s="181"/>
      <c r="D268" s="181"/>
      <c r="E268" s="182"/>
      <c r="F268" s="182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81"/>
      <c r="AJ268" s="181"/>
      <c r="AK268" s="181"/>
      <c r="AL268" s="181"/>
      <c r="AM268" s="181"/>
      <c r="AN268" s="181"/>
      <c r="AO268" s="181"/>
      <c r="AP268" s="181"/>
      <c r="AQ268" s="181"/>
      <c r="AR268" s="181"/>
      <c r="AS268" s="181"/>
      <c r="AT268" s="181"/>
      <c r="AU268" s="181"/>
      <c r="AV268" s="181"/>
      <c r="AW268" s="181"/>
    </row>
    <row r="269" spans="1:49" ht="13.5" customHeight="1" x14ac:dyDescent="0.3">
      <c r="A269" s="1"/>
      <c r="B269" s="181"/>
      <c r="C269" s="181"/>
      <c r="D269" s="181"/>
      <c r="E269" s="182"/>
      <c r="F269" s="182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81"/>
      <c r="AJ269" s="181"/>
      <c r="AK269" s="181"/>
      <c r="AL269" s="181"/>
      <c r="AM269" s="181"/>
      <c r="AN269" s="181"/>
      <c r="AO269" s="181"/>
      <c r="AP269" s="181"/>
      <c r="AQ269" s="181"/>
      <c r="AR269" s="181"/>
      <c r="AS269" s="181"/>
      <c r="AT269" s="181"/>
      <c r="AU269" s="181"/>
      <c r="AV269" s="181"/>
      <c r="AW269" s="181"/>
    </row>
    <row r="270" spans="1:49" ht="13.5" customHeight="1" x14ac:dyDescent="0.3">
      <c r="A270" s="1"/>
      <c r="B270" s="181"/>
      <c r="C270" s="181"/>
      <c r="D270" s="181"/>
      <c r="E270" s="182"/>
      <c r="F270" s="182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81"/>
      <c r="AJ270" s="181"/>
      <c r="AK270" s="181"/>
      <c r="AL270" s="181"/>
      <c r="AM270" s="181"/>
      <c r="AN270" s="181"/>
      <c r="AO270" s="181"/>
      <c r="AP270" s="181"/>
      <c r="AQ270" s="181"/>
      <c r="AR270" s="181"/>
      <c r="AS270" s="181"/>
      <c r="AT270" s="181"/>
      <c r="AU270" s="181"/>
      <c r="AV270" s="181"/>
      <c r="AW270" s="181"/>
    </row>
    <row r="271" spans="1:49" ht="13.5" customHeight="1" x14ac:dyDescent="0.3">
      <c r="A271" s="1"/>
      <c r="B271" s="181"/>
      <c r="C271" s="181"/>
      <c r="D271" s="181"/>
      <c r="E271" s="182"/>
      <c r="F271" s="182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81"/>
      <c r="AJ271" s="181"/>
      <c r="AK271" s="181"/>
      <c r="AL271" s="181"/>
      <c r="AM271" s="181"/>
      <c r="AN271" s="181"/>
      <c r="AO271" s="181"/>
      <c r="AP271" s="181"/>
      <c r="AQ271" s="181"/>
      <c r="AR271" s="181"/>
      <c r="AS271" s="181"/>
      <c r="AT271" s="181"/>
      <c r="AU271" s="181"/>
      <c r="AV271" s="181"/>
      <c r="AW271" s="181"/>
    </row>
    <row r="272" spans="1:49" ht="13.5" customHeight="1" x14ac:dyDescent="0.3">
      <c r="A272" s="1"/>
      <c r="B272" s="181"/>
      <c r="C272" s="181"/>
      <c r="D272" s="181"/>
      <c r="E272" s="182"/>
      <c r="F272" s="182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81"/>
      <c r="AJ272" s="181"/>
      <c r="AK272" s="181"/>
      <c r="AL272" s="181"/>
      <c r="AM272" s="181"/>
      <c r="AN272" s="181"/>
      <c r="AO272" s="181"/>
      <c r="AP272" s="181"/>
      <c r="AQ272" s="181"/>
      <c r="AR272" s="181"/>
      <c r="AS272" s="181"/>
      <c r="AT272" s="181"/>
      <c r="AU272" s="181"/>
      <c r="AV272" s="181"/>
      <c r="AW272" s="181"/>
    </row>
    <row r="273" spans="1:49" ht="13.5" customHeight="1" x14ac:dyDescent="0.3">
      <c r="A273" s="1"/>
      <c r="B273" s="181"/>
      <c r="C273" s="181"/>
      <c r="D273" s="181"/>
      <c r="E273" s="182"/>
      <c r="F273" s="182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81"/>
      <c r="AI273" s="181"/>
      <c r="AJ273" s="181"/>
      <c r="AK273" s="181"/>
      <c r="AL273" s="181"/>
      <c r="AM273" s="181"/>
      <c r="AN273" s="181"/>
      <c r="AO273" s="181"/>
      <c r="AP273" s="181"/>
      <c r="AQ273" s="181"/>
      <c r="AR273" s="181"/>
      <c r="AS273" s="181"/>
      <c r="AT273" s="181"/>
      <c r="AU273" s="181"/>
      <c r="AV273" s="181"/>
      <c r="AW273" s="181"/>
    </row>
    <row r="274" spans="1:49" ht="13.5" customHeight="1" x14ac:dyDescent="0.3">
      <c r="A274" s="1"/>
      <c r="B274" s="181"/>
      <c r="C274" s="181"/>
      <c r="D274" s="181"/>
      <c r="E274" s="182"/>
      <c r="F274" s="182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  <c r="AC274" s="181"/>
      <c r="AD274" s="181"/>
      <c r="AE274" s="181"/>
      <c r="AF274" s="181"/>
      <c r="AG274" s="181"/>
      <c r="AH274" s="181"/>
      <c r="AI274" s="181"/>
      <c r="AJ274" s="181"/>
      <c r="AK274" s="181"/>
      <c r="AL274" s="181"/>
      <c r="AM274" s="181"/>
      <c r="AN274" s="181"/>
      <c r="AO274" s="181"/>
      <c r="AP274" s="181"/>
      <c r="AQ274" s="181"/>
      <c r="AR274" s="181"/>
      <c r="AS274" s="181"/>
      <c r="AT274" s="181"/>
      <c r="AU274" s="181"/>
      <c r="AV274" s="181"/>
      <c r="AW274" s="181"/>
    </row>
    <row r="275" spans="1:49" ht="13.5" customHeight="1" x14ac:dyDescent="0.3">
      <c r="A275" s="1"/>
      <c r="B275" s="181"/>
      <c r="C275" s="181"/>
      <c r="D275" s="181"/>
      <c r="E275" s="182"/>
      <c r="F275" s="182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  <c r="AC275" s="181"/>
      <c r="AD275" s="181"/>
      <c r="AE275" s="181"/>
      <c r="AF275" s="181"/>
      <c r="AG275" s="181"/>
      <c r="AH275" s="181"/>
      <c r="AI275" s="181"/>
      <c r="AJ275" s="181"/>
      <c r="AK275" s="181"/>
      <c r="AL275" s="181"/>
      <c r="AM275" s="181"/>
      <c r="AN275" s="181"/>
      <c r="AO275" s="181"/>
      <c r="AP275" s="181"/>
      <c r="AQ275" s="181"/>
      <c r="AR275" s="181"/>
      <c r="AS275" s="181"/>
      <c r="AT275" s="181"/>
      <c r="AU275" s="181"/>
      <c r="AV275" s="181"/>
      <c r="AW275" s="181"/>
    </row>
    <row r="276" spans="1:49" ht="13.5" customHeight="1" x14ac:dyDescent="0.3">
      <c r="A276" s="1"/>
      <c r="B276" s="181"/>
      <c r="C276" s="181"/>
      <c r="D276" s="181"/>
      <c r="E276" s="182"/>
      <c r="F276" s="182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  <c r="AC276" s="181"/>
      <c r="AD276" s="181"/>
      <c r="AE276" s="181"/>
      <c r="AF276" s="181"/>
      <c r="AG276" s="181"/>
      <c r="AH276" s="181"/>
      <c r="AI276" s="181"/>
      <c r="AJ276" s="181"/>
      <c r="AK276" s="181"/>
      <c r="AL276" s="181"/>
      <c r="AM276" s="181"/>
      <c r="AN276" s="181"/>
      <c r="AO276" s="181"/>
      <c r="AP276" s="181"/>
      <c r="AQ276" s="181"/>
      <c r="AR276" s="181"/>
      <c r="AS276" s="181"/>
      <c r="AT276" s="181"/>
      <c r="AU276" s="181"/>
      <c r="AV276" s="181"/>
      <c r="AW276" s="181"/>
    </row>
    <row r="277" spans="1:49" ht="13.5" customHeight="1" x14ac:dyDescent="0.3">
      <c r="A277" s="1"/>
      <c r="B277" s="181"/>
      <c r="C277" s="181"/>
      <c r="D277" s="181"/>
      <c r="E277" s="182"/>
      <c r="F277" s="182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  <c r="AC277" s="181"/>
      <c r="AD277" s="181"/>
      <c r="AE277" s="181"/>
      <c r="AF277" s="181"/>
      <c r="AG277" s="181"/>
      <c r="AH277" s="181"/>
      <c r="AI277" s="181"/>
      <c r="AJ277" s="181"/>
      <c r="AK277" s="181"/>
      <c r="AL277" s="181"/>
      <c r="AM277" s="181"/>
      <c r="AN277" s="181"/>
      <c r="AO277" s="181"/>
      <c r="AP277" s="181"/>
      <c r="AQ277" s="181"/>
      <c r="AR277" s="181"/>
      <c r="AS277" s="181"/>
      <c r="AT277" s="181"/>
      <c r="AU277" s="181"/>
      <c r="AV277" s="181"/>
      <c r="AW277" s="181"/>
    </row>
    <row r="278" spans="1:49" ht="13.5" customHeight="1" x14ac:dyDescent="0.3">
      <c r="A278" s="1"/>
      <c r="B278" s="181"/>
      <c r="C278" s="181"/>
      <c r="D278" s="181"/>
      <c r="E278" s="182"/>
      <c r="F278" s="182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  <c r="AC278" s="181"/>
      <c r="AD278" s="181"/>
      <c r="AE278" s="181"/>
      <c r="AF278" s="181"/>
      <c r="AG278" s="181"/>
      <c r="AH278" s="181"/>
      <c r="AI278" s="181"/>
      <c r="AJ278" s="181"/>
      <c r="AK278" s="181"/>
      <c r="AL278" s="181"/>
      <c r="AM278" s="181"/>
      <c r="AN278" s="181"/>
      <c r="AO278" s="181"/>
      <c r="AP278" s="181"/>
      <c r="AQ278" s="181"/>
      <c r="AR278" s="181"/>
      <c r="AS278" s="181"/>
      <c r="AT278" s="181"/>
      <c r="AU278" s="181"/>
      <c r="AV278" s="181"/>
      <c r="AW278" s="181"/>
    </row>
    <row r="279" spans="1:49" ht="13.5" customHeight="1" x14ac:dyDescent="0.3">
      <c r="A279" s="1"/>
      <c r="B279" s="181"/>
      <c r="C279" s="181"/>
      <c r="D279" s="181"/>
      <c r="E279" s="182"/>
      <c r="F279" s="182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  <c r="AC279" s="181"/>
      <c r="AD279" s="181"/>
      <c r="AE279" s="181"/>
      <c r="AF279" s="181"/>
      <c r="AG279" s="181"/>
      <c r="AH279" s="181"/>
      <c r="AI279" s="181"/>
      <c r="AJ279" s="181"/>
      <c r="AK279" s="181"/>
      <c r="AL279" s="181"/>
      <c r="AM279" s="181"/>
      <c r="AN279" s="181"/>
      <c r="AO279" s="181"/>
      <c r="AP279" s="181"/>
      <c r="AQ279" s="181"/>
      <c r="AR279" s="181"/>
      <c r="AS279" s="181"/>
      <c r="AT279" s="181"/>
      <c r="AU279" s="181"/>
      <c r="AV279" s="181"/>
      <c r="AW279" s="181"/>
    </row>
    <row r="280" spans="1:49" ht="13.5" customHeight="1" x14ac:dyDescent="0.3">
      <c r="A280" s="1"/>
      <c r="B280" s="181"/>
      <c r="C280" s="181"/>
      <c r="D280" s="181"/>
      <c r="E280" s="182"/>
      <c r="F280" s="182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  <c r="AC280" s="181"/>
      <c r="AD280" s="181"/>
      <c r="AE280" s="181"/>
      <c r="AF280" s="181"/>
      <c r="AG280" s="181"/>
      <c r="AH280" s="181"/>
      <c r="AI280" s="181"/>
      <c r="AJ280" s="181"/>
      <c r="AK280" s="181"/>
      <c r="AL280" s="181"/>
      <c r="AM280" s="181"/>
      <c r="AN280" s="181"/>
      <c r="AO280" s="181"/>
      <c r="AP280" s="181"/>
      <c r="AQ280" s="181"/>
      <c r="AR280" s="181"/>
      <c r="AS280" s="181"/>
      <c r="AT280" s="181"/>
      <c r="AU280" s="181"/>
      <c r="AV280" s="181"/>
      <c r="AW280" s="181"/>
    </row>
    <row r="281" spans="1:49" ht="13.5" customHeight="1" x14ac:dyDescent="0.3">
      <c r="A281" s="1"/>
      <c r="B281" s="181"/>
      <c r="C281" s="181"/>
      <c r="D281" s="181"/>
      <c r="E281" s="182"/>
      <c r="F281" s="182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81"/>
      <c r="AJ281" s="181"/>
      <c r="AK281" s="181"/>
      <c r="AL281" s="181"/>
      <c r="AM281" s="181"/>
      <c r="AN281" s="181"/>
      <c r="AO281" s="181"/>
      <c r="AP281" s="181"/>
      <c r="AQ281" s="181"/>
      <c r="AR281" s="181"/>
      <c r="AS281" s="181"/>
      <c r="AT281" s="181"/>
      <c r="AU281" s="181"/>
      <c r="AV281" s="181"/>
      <c r="AW281" s="181"/>
    </row>
    <row r="282" spans="1:49" ht="13.5" customHeight="1" x14ac:dyDescent="0.3">
      <c r="A282" s="1"/>
      <c r="B282" s="181"/>
      <c r="C282" s="181"/>
      <c r="D282" s="181"/>
      <c r="E282" s="182"/>
      <c r="F282" s="182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81"/>
      <c r="AJ282" s="181"/>
      <c r="AK282" s="181"/>
      <c r="AL282" s="181"/>
      <c r="AM282" s="181"/>
      <c r="AN282" s="181"/>
      <c r="AO282" s="181"/>
      <c r="AP282" s="181"/>
      <c r="AQ282" s="181"/>
      <c r="AR282" s="181"/>
      <c r="AS282" s="181"/>
      <c r="AT282" s="181"/>
      <c r="AU282" s="181"/>
      <c r="AV282" s="181"/>
      <c r="AW282" s="181"/>
    </row>
    <row r="283" spans="1:49" ht="13.5" customHeight="1" x14ac:dyDescent="0.3">
      <c r="A283" s="1"/>
      <c r="B283" s="181"/>
      <c r="C283" s="181"/>
      <c r="D283" s="181"/>
      <c r="E283" s="182"/>
      <c r="F283" s="182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81"/>
      <c r="AJ283" s="181"/>
      <c r="AK283" s="181"/>
      <c r="AL283" s="181"/>
      <c r="AM283" s="181"/>
      <c r="AN283" s="181"/>
      <c r="AO283" s="181"/>
      <c r="AP283" s="181"/>
      <c r="AQ283" s="181"/>
      <c r="AR283" s="181"/>
      <c r="AS283" s="181"/>
      <c r="AT283" s="181"/>
      <c r="AU283" s="181"/>
      <c r="AV283" s="181"/>
      <c r="AW283" s="181"/>
    </row>
    <row r="284" spans="1:49" ht="13.5" customHeight="1" x14ac:dyDescent="0.3">
      <c r="A284" s="1"/>
      <c r="B284" s="181"/>
      <c r="C284" s="181"/>
      <c r="D284" s="181"/>
      <c r="E284" s="182"/>
      <c r="F284" s="182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81"/>
      <c r="AJ284" s="181"/>
      <c r="AK284" s="181"/>
      <c r="AL284" s="181"/>
      <c r="AM284" s="181"/>
      <c r="AN284" s="181"/>
      <c r="AO284" s="181"/>
      <c r="AP284" s="181"/>
      <c r="AQ284" s="181"/>
      <c r="AR284" s="181"/>
      <c r="AS284" s="181"/>
      <c r="AT284" s="181"/>
      <c r="AU284" s="181"/>
      <c r="AV284" s="181"/>
      <c r="AW284" s="181"/>
    </row>
    <row r="285" spans="1:49" ht="13.5" customHeight="1" x14ac:dyDescent="0.3">
      <c r="A285" s="1"/>
      <c r="B285" s="181"/>
      <c r="C285" s="181"/>
      <c r="D285" s="181"/>
      <c r="E285" s="182"/>
      <c r="F285" s="182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81"/>
      <c r="AJ285" s="181"/>
      <c r="AK285" s="181"/>
      <c r="AL285" s="181"/>
      <c r="AM285" s="181"/>
      <c r="AN285" s="181"/>
      <c r="AO285" s="181"/>
      <c r="AP285" s="181"/>
      <c r="AQ285" s="181"/>
      <c r="AR285" s="181"/>
      <c r="AS285" s="181"/>
      <c r="AT285" s="181"/>
      <c r="AU285" s="181"/>
      <c r="AV285" s="181"/>
      <c r="AW285" s="181"/>
    </row>
    <row r="286" spans="1:49" ht="13.5" customHeight="1" x14ac:dyDescent="0.3">
      <c r="A286" s="1"/>
      <c r="B286" s="181"/>
      <c r="C286" s="181"/>
      <c r="D286" s="181"/>
      <c r="E286" s="182"/>
      <c r="F286" s="182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81"/>
      <c r="AJ286" s="181"/>
      <c r="AK286" s="181"/>
      <c r="AL286" s="181"/>
      <c r="AM286" s="181"/>
      <c r="AN286" s="181"/>
      <c r="AO286" s="181"/>
      <c r="AP286" s="181"/>
      <c r="AQ286" s="181"/>
      <c r="AR286" s="181"/>
      <c r="AS286" s="181"/>
      <c r="AT286" s="181"/>
      <c r="AU286" s="181"/>
      <c r="AV286" s="181"/>
      <c r="AW286" s="181"/>
    </row>
    <row r="287" spans="1:49" ht="13.5" customHeight="1" x14ac:dyDescent="0.3">
      <c r="A287" s="1"/>
      <c r="B287" s="181"/>
      <c r="C287" s="181"/>
      <c r="D287" s="181"/>
      <c r="E287" s="182"/>
      <c r="F287" s="182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81"/>
      <c r="AJ287" s="181"/>
      <c r="AK287" s="181"/>
      <c r="AL287" s="181"/>
      <c r="AM287" s="181"/>
      <c r="AN287" s="181"/>
      <c r="AO287" s="181"/>
      <c r="AP287" s="181"/>
      <c r="AQ287" s="181"/>
      <c r="AR287" s="181"/>
      <c r="AS287" s="181"/>
      <c r="AT287" s="181"/>
      <c r="AU287" s="181"/>
      <c r="AV287" s="181"/>
      <c r="AW287" s="181"/>
    </row>
    <row r="288" spans="1:49" ht="13.5" customHeight="1" x14ac:dyDescent="0.3">
      <c r="A288" s="1"/>
      <c r="B288" s="181"/>
      <c r="C288" s="181"/>
      <c r="D288" s="181"/>
      <c r="E288" s="182"/>
      <c r="F288" s="182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81"/>
      <c r="AJ288" s="181"/>
      <c r="AK288" s="181"/>
      <c r="AL288" s="181"/>
      <c r="AM288" s="181"/>
      <c r="AN288" s="181"/>
      <c r="AO288" s="181"/>
      <c r="AP288" s="181"/>
      <c r="AQ288" s="181"/>
      <c r="AR288" s="181"/>
      <c r="AS288" s="181"/>
      <c r="AT288" s="181"/>
      <c r="AU288" s="181"/>
      <c r="AV288" s="181"/>
      <c r="AW288" s="181"/>
    </row>
    <row r="289" spans="1:49" ht="13.5" customHeight="1" x14ac:dyDescent="0.3">
      <c r="A289" s="1"/>
      <c r="B289" s="181"/>
      <c r="C289" s="181"/>
      <c r="D289" s="181"/>
      <c r="E289" s="182"/>
      <c r="F289" s="182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81"/>
      <c r="AJ289" s="181"/>
      <c r="AK289" s="181"/>
      <c r="AL289" s="181"/>
      <c r="AM289" s="181"/>
      <c r="AN289" s="181"/>
      <c r="AO289" s="181"/>
      <c r="AP289" s="181"/>
      <c r="AQ289" s="181"/>
      <c r="AR289" s="181"/>
      <c r="AS289" s="181"/>
      <c r="AT289" s="181"/>
      <c r="AU289" s="181"/>
      <c r="AV289" s="181"/>
      <c r="AW289" s="181"/>
    </row>
    <row r="290" spans="1:49" ht="13.5" customHeight="1" x14ac:dyDescent="0.3">
      <c r="A290" s="1"/>
      <c r="B290" s="181"/>
      <c r="C290" s="181"/>
      <c r="D290" s="181"/>
      <c r="E290" s="182"/>
      <c r="F290" s="182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81"/>
      <c r="AJ290" s="181"/>
      <c r="AK290" s="181"/>
      <c r="AL290" s="181"/>
      <c r="AM290" s="181"/>
      <c r="AN290" s="181"/>
      <c r="AO290" s="181"/>
      <c r="AP290" s="181"/>
      <c r="AQ290" s="181"/>
      <c r="AR290" s="181"/>
      <c r="AS290" s="181"/>
      <c r="AT290" s="181"/>
      <c r="AU290" s="181"/>
      <c r="AV290" s="181"/>
      <c r="AW290" s="181"/>
    </row>
    <row r="291" spans="1:49" ht="13.5" customHeight="1" x14ac:dyDescent="0.3">
      <c r="A291" s="1"/>
      <c r="B291" s="181"/>
      <c r="C291" s="181"/>
      <c r="D291" s="181"/>
      <c r="E291" s="182"/>
      <c r="F291" s="182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81"/>
      <c r="AJ291" s="181"/>
      <c r="AK291" s="181"/>
      <c r="AL291" s="181"/>
      <c r="AM291" s="181"/>
      <c r="AN291" s="181"/>
      <c r="AO291" s="181"/>
      <c r="AP291" s="181"/>
      <c r="AQ291" s="181"/>
      <c r="AR291" s="181"/>
      <c r="AS291" s="181"/>
      <c r="AT291" s="181"/>
      <c r="AU291" s="181"/>
      <c r="AV291" s="181"/>
      <c r="AW291" s="181"/>
    </row>
    <row r="292" spans="1:49" ht="13.5" customHeight="1" x14ac:dyDescent="0.3">
      <c r="A292" s="1"/>
      <c r="B292" s="181"/>
      <c r="C292" s="181"/>
      <c r="D292" s="181"/>
      <c r="E292" s="182"/>
      <c r="F292" s="182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81"/>
      <c r="AJ292" s="181"/>
      <c r="AK292" s="181"/>
      <c r="AL292" s="181"/>
      <c r="AM292" s="181"/>
      <c r="AN292" s="181"/>
      <c r="AO292" s="181"/>
      <c r="AP292" s="181"/>
      <c r="AQ292" s="181"/>
      <c r="AR292" s="181"/>
      <c r="AS292" s="181"/>
      <c r="AT292" s="181"/>
      <c r="AU292" s="181"/>
      <c r="AV292" s="181"/>
      <c r="AW292" s="181"/>
    </row>
    <row r="293" spans="1:49" ht="13.5" customHeight="1" x14ac:dyDescent="0.3">
      <c r="A293" s="1"/>
      <c r="B293" s="181"/>
      <c r="C293" s="181"/>
      <c r="D293" s="181"/>
      <c r="E293" s="182"/>
      <c r="F293" s="182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81"/>
      <c r="AJ293" s="181"/>
      <c r="AK293" s="181"/>
      <c r="AL293" s="181"/>
      <c r="AM293" s="181"/>
      <c r="AN293" s="181"/>
      <c r="AO293" s="181"/>
      <c r="AP293" s="181"/>
      <c r="AQ293" s="181"/>
      <c r="AR293" s="181"/>
      <c r="AS293" s="181"/>
      <c r="AT293" s="181"/>
      <c r="AU293" s="181"/>
      <c r="AV293" s="181"/>
      <c r="AW293" s="181"/>
    </row>
    <row r="294" spans="1:49" ht="13.5" customHeight="1" x14ac:dyDescent="0.3">
      <c r="A294" s="1"/>
      <c r="B294" s="181"/>
      <c r="C294" s="181"/>
      <c r="D294" s="181"/>
      <c r="E294" s="182"/>
      <c r="F294" s="182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81"/>
      <c r="AJ294" s="181"/>
      <c r="AK294" s="181"/>
      <c r="AL294" s="181"/>
      <c r="AM294" s="181"/>
      <c r="AN294" s="181"/>
      <c r="AO294" s="181"/>
      <c r="AP294" s="181"/>
      <c r="AQ294" s="181"/>
      <c r="AR294" s="181"/>
      <c r="AS294" s="181"/>
      <c r="AT294" s="181"/>
      <c r="AU294" s="181"/>
      <c r="AV294" s="181"/>
      <c r="AW294" s="181"/>
    </row>
    <row r="295" spans="1:49" ht="13.5" customHeight="1" x14ac:dyDescent="0.3">
      <c r="A295" s="1"/>
      <c r="B295" s="181"/>
      <c r="C295" s="181"/>
      <c r="D295" s="181"/>
      <c r="E295" s="182"/>
      <c r="F295" s="182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81"/>
      <c r="AJ295" s="181"/>
      <c r="AK295" s="181"/>
      <c r="AL295" s="181"/>
      <c r="AM295" s="181"/>
      <c r="AN295" s="181"/>
      <c r="AO295" s="181"/>
      <c r="AP295" s="181"/>
      <c r="AQ295" s="181"/>
      <c r="AR295" s="181"/>
      <c r="AS295" s="181"/>
      <c r="AT295" s="181"/>
      <c r="AU295" s="181"/>
      <c r="AV295" s="181"/>
      <c r="AW295" s="181"/>
    </row>
    <row r="296" spans="1:49" ht="13.5" customHeight="1" x14ac:dyDescent="0.3">
      <c r="A296" s="1"/>
      <c r="B296" s="181"/>
      <c r="C296" s="181"/>
      <c r="D296" s="181"/>
      <c r="E296" s="182"/>
      <c r="F296" s="182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81"/>
      <c r="AI296" s="181"/>
      <c r="AJ296" s="181"/>
      <c r="AK296" s="181"/>
      <c r="AL296" s="181"/>
      <c r="AM296" s="181"/>
      <c r="AN296" s="181"/>
      <c r="AO296" s="181"/>
      <c r="AP296" s="181"/>
      <c r="AQ296" s="181"/>
      <c r="AR296" s="181"/>
      <c r="AS296" s="181"/>
      <c r="AT296" s="181"/>
      <c r="AU296" s="181"/>
      <c r="AV296" s="181"/>
      <c r="AW296" s="181"/>
    </row>
    <row r="297" spans="1:49" ht="13.5" customHeight="1" x14ac:dyDescent="0.3">
      <c r="A297" s="1"/>
      <c r="B297" s="181"/>
      <c r="C297" s="181"/>
      <c r="D297" s="181"/>
      <c r="E297" s="182"/>
      <c r="F297" s="182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  <c r="AC297" s="181"/>
      <c r="AD297" s="181"/>
      <c r="AE297" s="181"/>
      <c r="AF297" s="181"/>
      <c r="AG297" s="181"/>
      <c r="AH297" s="181"/>
      <c r="AI297" s="181"/>
      <c r="AJ297" s="181"/>
      <c r="AK297" s="181"/>
      <c r="AL297" s="181"/>
      <c r="AM297" s="181"/>
      <c r="AN297" s="181"/>
      <c r="AO297" s="181"/>
      <c r="AP297" s="181"/>
      <c r="AQ297" s="181"/>
      <c r="AR297" s="181"/>
      <c r="AS297" s="181"/>
      <c r="AT297" s="181"/>
      <c r="AU297" s="181"/>
      <c r="AV297" s="181"/>
      <c r="AW297" s="181"/>
    </row>
    <row r="298" spans="1:49" ht="13.5" customHeight="1" x14ac:dyDescent="0.3">
      <c r="A298" s="1"/>
      <c r="B298" s="181"/>
      <c r="C298" s="181"/>
      <c r="D298" s="181"/>
      <c r="E298" s="182"/>
      <c r="F298" s="182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  <c r="AC298" s="181"/>
      <c r="AD298" s="181"/>
      <c r="AE298" s="181"/>
      <c r="AF298" s="181"/>
      <c r="AG298" s="181"/>
      <c r="AH298" s="181"/>
      <c r="AI298" s="181"/>
      <c r="AJ298" s="181"/>
      <c r="AK298" s="181"/>
      <c r="AL298" s="181"/>
      <c r="AM298" s="181"/>
      <c r="AN298" s="181"/>
      <c r="AO298" s="181"/>
      <c r="AP298" s="181"/>
      <c r="AQ298" s="181"/>
      <c r="AR298" s="181"/>
      <c r="AS298" s="181"/>
      <c r="AT298" s="181"/>
      <c r="AU298" s="181"/>
      <c r="AV298" s="181"/>
      <c r="AW298" s="181"/>
    </row>
    <row r="299" spans="1:49" ht="13.5" customHeight="1" x14ac:dyDescent="0.3">
      <c r="A299" s="1"/>
      <c r="B299" s="181"/>
      <c r="C299" s="181"/>
      <c r="D299" s="181"/>
      <c r="E299" s="182"/>
      <c r="F299" s="182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  <c r="AC299" s="181"/>
      <c r="AD299" s="181"/>
      <c r="AE299" s="181"/>
      <c r="AF299" s="181"/>
      <c r="AG299" s="181"/>
      <c r="AH299" s="181"/>
      <c r="AI299" s="181"/>
      <c r="AJ299" s="181"/>
      <c r="AK299" s="181"/>
      <c r="AL299" s="181"/>
      <c r="AM299" s="181"/>
      <c r="AN299" s="181"/>
      <c r="AO299" s="181"/>
      <c r="AP299" s="181"/>
      <c r="AQ299" s="181"/>
      <c r="AR299" s="181"/>
      <c r="AS299" s="181"/>
      <c r="AT299" s="181"/>
      <c r="AU299" s="181"/>
      <c r="AV299" s="181"/>
      <c r="AW299" s="181"/>
    </row>
    <row r="300" spans="1:49" ht="13.5" customHeight="1" x14ac:dyDescent="0.3">
      <c r="A300" s="1"/>
      <c r="B300" s="181"/>
      <c r="C300" s="181"/>
      <c r="D300" s="181"/>
      <c r="E300" s="182"/>
      <c r="F300" s="182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  <c r="AC300" s="181"/>
      <c r="AD300" s="181"/>
      <c r="AE300" s="181"/>
      <c r="AF300" s="181"/>
      <c r="AG300" s="181"/>
      <c r="AH300" s="181"/>
      <c r="AI300" s="181"/>
      <c r="AJ300" s="181"/>
      <c r="AK300" s="181"/>
      <c r="AL300" s="181"/>
      <c r="AM300" s="181"/>
      <c r="AN300" s="181"/>
      <c r="AO300" s="181"/>
      <c r="AP300" s="181"/>
      <c r="AQ300" s="181"/>
      <c r="AR300" s="181"/>
      <c r="AS300" s="181"/>
      <c r="AT300" s="181"/>
      <c r="AU300" s="181"/>
      <c r="AV300" s="181"/>
      <c r="AW300" s="181"/>
    </row>
    <row r="301" spans="1:49" ht="13.5" customHeight="1" x14ac:dyDescent="0.3">
      <c r="A301" s="1"/>
      <c r="B301" s="181"/>
      <c r="C301" s="181"/>
      <c r="D301" s="181"/>
      <c r="E301" s="182"/>
      <c r="F301" s="182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  <c r="AC301" s="181"/>
      <c r="AD301" s="181"/>
      <c r="AE301" s="181"/>
      <c r="AF301" s="181"/>
      <c r="AG301" s="181"/>
      <c r="AH301" s="181"/>
      <c r="AI301" s="181"/>
      <c r="AJ301" s="181"/>
      <c r="AK301" s="181"/>
      <c r="AL301" s="181"/>
      <c r="AM301" s="181"/>
      <c r="AN301" s="181"/>
      <c r="AO301" s="181"/>
      <c r="AP301" s="181"/>
      <c r="AQ301" s="181"/>
      <c r="AR301" s="181"/>
      <c r="AS301" s="181"/>
      <c r="AT301" s="181"/>
      <c r="AU301" s="181"/>
      <c r="AV301" s="181"/>
      <c r="AW301" s="181"/>
    </row>
    <row r="302" spans="1:49" ht="13.5" customHeight="1" x14ac:dyDescent="0.3">
      <c r="A302" s="1"/>
      <c r="B302" s="181"/>
      <c r="C302" s="181"/>
      <c r="D302" s="181"/>
      <c r="E302" s="182"/>
      <c r="F302" s="182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  <c r="AC302" s="181"/>
      <c r="AD302" s="181"/>
      <c r="AE302" s="181"/>
      <c r="AF302" s="181"/>
      <c r="AG302" s="181"/>
      <c r="AH302" s="181"/>
      <c r="AI302" s="181"/>
      <c r="AJ302" s="181"/>
      <c r="AK302" s="181"/>
      <c r="AL302" s="181"/>
      <c r="AM302" s="181"/>
      <c r="AN302" s="181"/>
      <c r="AO302" s="181"/>
      <c r="AP302" s="181"/>
      <c r="AQ302" s="181"/>
      <c r="AR302" s="181"/>
      <c r="AS302" s="181"/>
      <c r="AT302" s="181"/>
      <c r="AU302" s="181"/>
      <c r="AV302" s="181"/>
      <c r="AW302" s="181"/>
    </row>
    <row r="303" spans="1:49" ht="13.5" customHeight="1" x14ac:dyDescent="0.3">
      <c r="A303" s="1"/>
      <c r="B303" s="181"/>
      <c r="C303" s="181"/>
      <c r="D303" s="181"/>
      <c r="E303" s="182"/>
      <c r="F303" s="182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  <c r="AC303" s="181"/>
      <c r="AD303" s="181"/>
      <c r="AE303" s="181"/>
      <c r="AF303" s="181"/>
      <c r="AG303" s="181"/>
      <c r="AH303" s="181"/>
      <c r="AI303" s="181"/>
      <c r="AJ303" s="181"/>
      <c r="AK303" s="181"/>
      <c r="AL303" s="181"/>
      <c r="AM303" s="181"/>
      <c r="AN303" s="181"/>
      <c r="AO303" s="181"/>
      <c r="AP303" s="181"/>
      <c r="AQ303" s="181"/>
      <c r="AR303" s="181"/>
      <c r="AS303" s="181"/>
      <c r="AT303" s="181"/>
      <c r="AU303" s="181"/>
      <c r="AV303" s="181"/>
      <c r="AW303" s="181"/>
    </row>
    <row r="304" spans="1:49" ht="13.5" customHeight="1" x14ac:dyDescent="0.3">
      <c r="A304" s="1"/>
      <c r="B304" s="181"/>
      <c r="C304" s="181"/>
      <c r="D304" s="181"/>
      <c r="E304" s="182"/>
      <c r="F304" s="182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81"/>
      <c r="AJ304" s="181"/>
      <c r="AK304" s="181"/>
      <c r="AL304" s="181"/>
      <c r="AM304" s="181"/>
      <c r="AN304" s="181"/>
      <c r="AO304" s="181"/>
      <c r="AP304" s="181"/>
      <c r="AQ304" s="181"/>
      <c r="AR304" s="181"/>
      <c r="AS304" s="181"/>
      <c r="AT304" s="181"/>
      <c r="AU304" s="181"/>
      <c r="AV304" s="181"/>
      <c r="AW304" s="181"/>
    </row>
    <row r="305" spans="1:49" ht="13.5" customHeight="1" x14ac:dyDescent="0.3">
      <c r="A305" s="1"/>
      <c r="B305" s="181"/>
      <c r="C305" s="181"/>
      <c r="D305" s="181"/>
      <c r="E305" s="182"/>
      <c r="F305" s="182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81"/>
      <c r="AJ305" s="181"/>
      <c r="AK305" s="181"/>
      <c r="AL305" s="181"/>
      <c r="AM305" s="181"/>
      <c r="AN305" s="181"/>
      <c r="AO305" s="181"/>
      <c r="AP305" s="181"/>
      <c r="AQ305" s="181"/>
      <c r="AR305" s="181"/>
      <c r="AS305" s="181"/>
      <c r="AT305" s="181"/>
      <c r="AU305" s="181"/>
      <c r="AV305" s="181"/>
      <c r="AW305" s="181"/>
    </row>
    <row r="306" spans="1:49" ht="13.5" customHeight="1" x14ac:dyDescent="0.3">
      <c r="A306" s="1"/>
      <c r="B306" s="181"/>
      <c r="C306" s="181"/>
      <c r="D306" s="181"/>
      <c r="E306" s="182"/>
      <c r="F306" s="182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81"/>
      <c r="AJ306" s="181"/>
      <c r="AK306" s="181"/>
      <c r="AL306" s="181"/>
      <c r="AM306" s="181"/>
      <c r="AN306" s="181"/>
      <c r="AO306" s="181"/>
      <c r="AP306" s="181"/>
      <c r="AQ306" s="181"/>
      <c r="AR306" s="181"/>
      <c r="AS306" s="181"/>
      <c r="AT306" s="181"/>
      <c r="AU306" s="181"/>
      <c r="AV306" s="181"/>
      <c r="AW306" s="181"/>
    </row>
    <row r="307" spans="1:49" ht="13.5" customHeight="1" x14ac:dyDescent="0.3">
      <c r="A307" s="1"/>
      <c r="B307" s="181"/>
      <c r="C307" s="181"/>
      <c r="D307" s="181"/>
      <c r="E307" s="182"/>
      <c r="F307" s="182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81"/>
      <c r="AJ307" s="181"/>
      <c r="AK307" s="181"/>
      <c r="AL307" s="181"/>
      <c r="AM307" s="181"/>
      <c r="AN307" s="181"/>
      <c r="AO307" s="181"/>
      <c r="AP307" s="181"/>
      <c r="AQ307" s="181"/>
      <c r="AR307" s="181"/>
      <c r="AS307" s="181"/>
      <c r="AT307" s="181"/>
      <c r="AU307" s="181"/>
      <c r="AV307" s="181"/>
      <c r="AW307" s="181"/>
    </row>
    <row r="308" spans="1:49" ht="13.5" customHeight="1" x14ac:dyDescent="0.3">
      <c r="A308" s="1"/>
      <c r="B308" s="181"/>
      <c r="C308" s="181"/>
      <c r="D308" s="181"/>
      <c r="E308" s="182"/>
      <c r="F308" s="182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81"/>
      <c r="AJ308" s="181"/>
      <c r="AK308" s="181"/>
      <c r="AL308" s="181"/>
      <c r="AM308" s="181"/>
      <c r="AN308" s="181"/>
      <c r="AO308" s="181"/>
      <c r="AP308" s="181"/>
      <c r="AQ308" s="181"/>
      <c r="AR308" s="181"/>
      <c r="AS308" s="181"/>
      <c r="AT308" s="181"/>
      <c r="AU308" s="181"/>
      <c r="AV308" s="181"/>
      <c r="AW308" s="181"/>
    </row>
    <row r="309" spans="1:49" ht="13.5" customHeight="1" x14ac:dyDescent="0.3">
      <c r="A309" s="1"/>
      <c r="B309" s="181"/>
      <c r="C309" s="181"/>
      <c r="D309" s="181"/>
      <c r="E309" s="182"/>
      <c r="F309" s="182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81"/>
      <c r="AJ309" s="181"/>
      <c r="AK309" s="181"/>
      <c r="AL309" s="181"/>
      <c r="AM309" s="181"/>
      <c r="AN309" s="181"/>
      <c r="AO309" s="181"/>
      <c r="AP309" s="181"/>
      <c r="AQ309" s="181"/>
      <c r="AR309" s="181"/>
      <c r="AS309" s="181"/>
      <c r="AT309" s="181"/>
      <c r="AU309" s="181"/>
      <c r="AV309" s="181"/>
      <c r="AW309" s="181"/>
    </row>
    <row r="310" spans="1:49" ht="13.5" customHeight="1" x14ac:dyDescent="0.3">
      <c r="A310" s="1"/>
      <c r="B310" s="181"/>
      <c r="C310" s="181"/>
      <c r="D310" s="181"/>
      <c r="E310" s="182"/>
      <c r="F310" s="182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81"/>
      <c r="AJ310" s="181"/>
      <c r="AK310" s="181"/>
      <c r="AL310" s="181"/>
      <c r="AM310" s="181"/>
      <c r="AN310" s="181"/>
      <c r="AO310" s="181"/>
      <c r="AP310" s="181"/>
      <c r="AQ310" s="181"/>
      <c r="AR310" s="181"/>
      <c r="AS310" s="181"/>
      <c r="AT310" s="181"/>
      <c r="AU310" s="181"/>
      <c r="AV310" s="181"/>
      <c r="AW310" s="181"/>
    </row>
    <row r="311" spans="1:49" ht="13.5" customHeight="1" x14ac:dyDescent="0.3">
      <c r="A311" s="1"/>
      <c r="B311" s="181"/>
      <c r="C311" s="181"/>
      <c r="D311" s="181"/>
      <c r="E311" s="182"/>
      <c r="F311" s="182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81"/>
      <c r="AJ311" s="181"/>
      <c r="AK311" s="181"/>
      <c r="AL311" s="181"/>
      <c r="AM311" s="181"/>
      <c r="AN311" s="181"/>
      <c r="AO311" s="181"/>
      <c r="AP311" s="181"/>
      <c r="AQ311" s="181"/>
      <c r="AR311" s="181"/>
      <c r="AS311" s="181"/>
      <c r="AT311" s="181"/>
      <c r="AU311" s="181"/>
      <c r="AV311" s="181"/>
      <c r="AW311" s="181"/>
    </row>
    <row r="312" spans="1:49" ht="13.5" customHeight="1" x14ac:dyDescent="0.3">
      <c r="A312" s="1"/>
      <c r="B312" s="181"/>
      <c r="C312" s="181"/>
      <c r="D312" s="181"/>
      <c r="E312" s="182"/>
      <c r="F312" s="182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81"/>
      <c r="AJ312" s="181"/>
      <c r="AK312" s="181"/>
      <c r="AL312" s="181"/>
      <c r="AM312" s="181"/>
      <c r="AN312" s="181"/>
      <c r="AO312" s="181"/>
      <c r="AP312" s="181"/>
      <c r="AQ312" s="181"/>
      <c r="AR312" s="181"/>
      <c r="AS312" s="181"/>
      <c r="AT312" s="181"/>
      <c r="AU312" s="181"/>
      <c r="AV312" s="181"/>
      <c r="AW312" s="181"/>
    </row>
    <row r="313" spans="1:49" ht="13.5" customHeight="1" x14ac:dyDescent="0.3">
      <c r="A313" s="1"/>
      <c r="B313" s="181"/>
      <c r="C313" s="181"/>
      <c r="D313" s="181"/>
      <c r="E313" s="182"/>
      <c r="F313" s="182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81"/>
      <c r="AJ313" s="181"/>
      <c r="AK313" s="181"/>
      <c r="AL313" s="181"/>
      <c r="AM313" s="181"/>
      <c r="AN313" s="181"/>
      <c r="AO313" s="181"/>
      <c r="AP313" s="181"/>
      <c r="AQ313" s="181"/>
      <c r="AR313" s="181"/>
      <c r="AS313" s="181"/>
      <c r="AT313" s="181"/>
      <c r="AU313" s="181"/>
      <c r="AV313" s="181"/>
      <c r="AW313" s="181"/>
    </row>
    <row r="314" spans="1:49" ht="13.5" customHeight="1" x14ac:dyDescent="0.3">
      <c r="A314" s="1"/>
      <c r="B314" s="181"/>
      <c r="C314" s="181"/>
      <c r="D314" s="181"/>
      <c r="E314" s="182"/>
      <c r="F314" s="182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81"/>
      <c r="AJ314" s="181"/>
      <c r="AK314" s="181"/>
      <c r="AL314" s="181"/>
      <c r="AM314" s="181"/>
      <c r="AN314" s="181"/>
      <c r="AO314" s="181"/>
      <c r="AP314" s="181"/>
      <c r="AQ314" s="181"/>
      <c r="AR314" s="181"/>
      <c r="AS314" s="181"/>
      <c r="AT314" s="181"/>
      <c r="AU314" s="181"/>
      <c r="AV314" s="181"/>
      <c r="AW314" s="181"/>
    </row>
    <row r="315" spans="1:49" ht="13.5" customHeight="1" x14ac:dyDescent="0.3">
      <c r="A315" s="1"/>
      <c r="B315" s="181"/>
      <c r="C315" s="181"/>
      <c r="D315" s="181"/>
      <c r="E315" s="182"/>
      <c r="F315" s="182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81"/>
      <c r="AJ315" s="181"/>
      <c r="AK315" s="181"/>
      <c r="AL315" s="181"/>
      <c r="AM315" s="181"/>
      <c r="AN315" s="181"/>
      <c r="AO315" s="181"/>
      <c r="AP315" s="181"/>
      <c r="AQ315" s="181"/>
      <c r="AR315" s="181"/>
      <c r="AS315" s="181"/>
      <c r="AT315" s="181"/>
      <c r="AU315" s="181"/>
      <c r="AV315" s="181"/>
      <c r="AW315" s="181"/>
    </row>
    <row r="316" spans="1:49" ht="13.5" customHeight="1" x14ac:dyDescent="0.3">
      <c r="A316" s="1"/>
      <c r="B316" s="181"/>
      <c r="C316" s="181"/>
      <c r="D316" s="181"/>
      <c r="E316" s="182"/>
      <c r="F316" s="182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81"/>
      <c r="AJ316" s="181"/>
      <c r="AK316" s="181"/>
      <c r="AL316" s="181"/>
      <c r="AM316" s="181"/>
      <c r="AN316" s="181"/>
      <c r="AO316" s="181"/>
      <c r="AP316" s="181"/>
      <c r="AQ316" s="181"/>
      <c r="AR316" s="181"/>
      <c r="AS316" s="181"/>
      <c r="AT316" s="181"/>
      <c r="AU316" s="181"/>
      <c r="AV316" s="181"/>
      <c r="AW316" s="181"/>
    </row>
    <row r="317" spans="1:49" ht="13.5" customHeight="1" x14ac:dyDescent="0.3">
      <c r="A317" s="1"/>
      <c r="B317" s="181"/>
      <c r="C317" s="181"/>
      <c r="D317" s="181"/>
      <c r="E317" s="182"/>
      <c r="F317" s="182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81"/>
      <c r="AJ317" s="181"/>
      <c r="AK317" s="181"/>
      <c r="AL317" s="181"/>
      <c r="AM317" s="181"/>
      <c r="AN317" s="181"/>
      <c r="AO317" s="181"/>
      <c r="AP317" s="181"/>
      <c r="AQ317" s="181"/>
      <c r="AR317" s="181"/>
      <c r="AS317" s="181"/>
      <c r="AT317" s="181"/>
      <c r="AU317" s="181"/>
      <c r="AV317" s="181"/>
      <c r="AW317" s="181"/>
    </row>
    <row r="318" spans="1:49" ht="13.5" customHeight="1" x14ac:dyDescent="0.3">
      <c r="A318" s="1"/>
      <c r="B318" s="181"/>
      <c r="C318" s="181"/>
      <c r="D318" s="181"/>
      <c r="E318" s="182"/>
      <c r="F318" s="182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81"/>
      <c r="AJ318" s="181"/>
      <c r="AK318" s="181"/>
      <c r="AL318" s="181"/>
      <c r="AM318" s="181"/>
      <c r="AN318" s="181"/>
      <c r="AO318" s="181"/>
      <c r="AP318" s="181"/>
      <c r="AQ318" s="181"/>
      <c r="AR318" s="181"/>
      <c r="AS318" s="181"/>
      <c r="AT318" s="181"/>
      <c r="AU318" s="181"/>
      <c r="AV318" s="181"/>
      <c r="AW318" s="181"/>
    </row>
    <row r="319" spans="1:49" ht="13.5" customHeight="1" x14ac:dyDescent="0.3">
      <c r="A319" s="1"/>
      <c r="B319" s="181"/>
      <c r="C319" s="181"/>
      <c r="D319" s="181"/>
      <c r="E319" s="182"/>
      <c r="F319" s="182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81"/>
      <c r="AI319" s="181"/>
      <c r="AJ319" s="181"/>
      <c r="AK319" s="181"/>
      <c r="AL319" s="181"/>
      <c r="AM319" s="181"/>
      <c r="AN319" s="181"/>
      <c r="AO319" s="181"/>
      <c r="AP319" s="181"/>
      <c r="AQ319" s="181"/>
      <c r="AR319" s="181"/>
      <c r="AS319" s="181"/>
      <c r="AT319" s="181"/>
      <c r="AU319" s="181"/>
      <c r="AV319" s="181"/>
      <c r="AW319" s="181"/>
    </row>
    <row r="320" spans="1:49" ht="13.5" customHeight="1" x14ac:dyDescent="0.3">
      <c r="A320" s="1"/>
      <c r="B320" s="181"/>
      <c r="C320" s="181"/>
      <c r="D320" s="181"/>
      <c r="E320" s="182"/>
      <c r="F320" s="182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  <c r="AC320" s="181"/>
      <c r="AD320" s="181"/>
      <c r="AE320" s="181"/>
      <c r="AF320" s="181"/>
      <c r="AG320" s="181"/>
      <c r="AH320" s="181"/>
      <c r="AI320" s="181"/>
      <c r="AJ320" s="181"/>
      <c r="AK320" s="181"/>
      <c r="AL320" s="181"/>
      <c r="AM320" s="181"/>
      <c r="AN320" s="181"/>
      <c r="AO320" s="181"/>
      <c r="AP320" s="181"/>
      <c r="AQ320" s="181"/>
      <c r="AR320" s="181"/>
      <c r="AS320" s="181"/>
      <c r="AT320" s="181"/>
      <c r="AU320" s="181"/>
      <c r="AV320" s="181"/>
      <c r="AW320" s="181"/>
    </row>
    <row r="321" spans="1:49" ht="13.5" customHeight="1" x14ac:dyDescent="0.3">
      <c r="A321" s="1"/>
      <c r="B321" s="181"/>
      <c r="C321" s="181"/>
      <c r="D321" s="181"/>
      <c r="E321" s="182"/>
      <c r="F321" s="182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  <c r="AC321" s="181"/>
      <c r="AD321" s="181"/>
      <c r="AE321" s="181"/>
      <c r="AF321" s="181"/>
      <c r="AG321" s="181"/>
      <c r="AH321" s="181"/>
      <c r="AI321" s="181"/>
      <c r="AJ321" s="181"/>
      <c r="AK321" s="181"/>
      <c r="AL321" s="181"/>
      <c r="AM321" s="181"/>
      <c r="AN321" s="181"/>
      <c r="AO321" s="181"/>
      <c r="AP321" s="181"/>
      <c r="AQ321" s="181"/>
      <c r="AR321" s="181"/>
      <c r="AS321" s="181"/>
      <c r="AT321" s="181"/>
      <c r="AU321" s="181"/>
      <c r="AV321" s="181"/>
      <c r="AW321" s="181"/>
    </row>
    <row r="322" spans="1:49" ht="13.5" customHeight="1" x14ac:dyDescent="0.3">
      <c r="A322" s="1"/>
      <c r="B322" s="181"/>
      <c r="C322" s="181"/>
      <c r="D322" s="181"/>
      <c r="E322" s="182"/>
      <c r="F322" s="182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  <c r="AC322" s="181"/>
      <c r="AD322" s="181"/>
      <c r="AE322" s="181"/>
      <c r="AF322" s="181"/>
      <c r="AG322" s="181"/>
      <c r="AH322" s="181"/>
      <c r="AI322" s="181"/>
      <c r="AJ322" s="181"/>
      <c r="AK322" s="181"/>
      <c r="AL322" s="181"/>
      <c r="AM322" s="181"/>
      <c r="AN322" s="181"/>
      <c r="AO322" s="181"/>
      <c r="AP322" s="181"/>
      <c r="AQ322" s="181"/>
      <c r="AR322" s="181"/>
      <c r="AS322" s="181"/>
      <c r="AT322" s="181"/>
      <c r="AU322" s="181"/>
      <c r="AV322" s="181"/>
      <c r="AW322" s="181"/>
    </row>
    <row r="323" spans="1:49" ht="13.5" customHeight="1" x14ac:dyDescent="0.3">
      <c r="A323" s="1"/>
      <c r="B323" s="181"/>
      <c r="C323" s="181"/>
      <c r="D323" s="181"/>
      <c r="E323" s="182"/>
      <c r="F323" s="182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  <c r="AC323" s="181"/>
      <c r="AD323" s="181"/>
      <c r="AE323" s="181"/>
      <c r="AF323" s="181"/>
      <c r="AG323" s="181"/>
      <c r="AH323" s="181"/>
      <c r="AI323" s="181"/>
      <c r="AJ323" s="181"/>
      <c r="AK323" s="181"/>
      <c r="AL323" s="181"/>
      <c r="AM323" s="181"/>
      <c r="AN323" s="181"/>
      <c r="AO323" s="181"/>
      <c r="AP323" s="181"/>
      <c r="AQ323" s="181"/>
      <c r="AR323" s="181"/>
      <c r="AS323" s="181"/>
      <c r="AT323" s="181"/>
      <c r="AU323" s="181"/>
      <c r="AV323" s="181"/>
      <c r="AW323" s="181"/>
    </row>
    <row r="324" spans="1:49" ht="13.5" customHeight="1" x14ac:dyDescent="0.3">
      <c r="A324" s="1"/>
      <c r="B324" s="181"/>
      <c r="C324" s="181"/>
      <c r="D324" s="181"/>
      <c r="E324" s="182"/>
      <c r="F324" s="182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  <c r="AC324" s="181"/>
      <c r="AD324" s="181"/>
      <c r="AE324" s="181"/>
      <c r="AF324" s="181"/>
      <c r="AG324" s="181"/>
      <c r="AH324" s="181"/>
      <c r="AI324" s="181"/>
      <c r="AJ324" s="181"/>
      <c r="AK324" s="181"/>
      <c r="AL324" s="181"/>
      <c r="AM324" s="181"/>
      <c r="AN324" s="181"/>
      <c r="AO324" s="181"/>
      <c r="AP324" s="181"/>
      <c r="AQ324" s="181"/>
      <c r="AR324" s="181"/>
      <c r="AS324" s="181"/>
      <c r="AT324" s="181"/>
      <c r="AU324" s="181"/>
      <c r="AV324" s="181"/>
      <c r="AW324" s="181"/>
    </row>
    <row r="325" spans="1:49" ht="13.5" customHeight="1" x14ac:dyDescent="0.3">
      <c r="A325" s="1"/>
      <c r="B325" s="181"/>
      <c r="C325" s="181"/>
      <c r="D325" s="181"/>
      <c r="E325" s="182"/>
      <c r="F325" s="182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  <c r="AC325" s="181"/>
      <c r="AD325" s="181"/>
      <c r="AE325" s="181"/>
      <c r="AF325" s="181"/>
      <c r="AG325" s="181"/>
      <c r="AH325" s="181"/>
      <c r="AI325" s="181"/>
      <c r="AJ325" s="181"/>
      <c r="AK325" s="181"/>
      <c r="AL325" s="181"/>
      <c r="AM325" s="181"/>
      <c r="AN325" s="181"/>
      <c r="AO325" s="181"/>
      <c r="AP325" s="181"/>
      <c r="AQ325" s="181"/>
      <c r="AR325" s="181"/>
      <c r="AS325" s="181"/>
      <c r="AT325" s="181"/>
      <c r="AU325" s="181"/>
      <c r="AV325" s="181"/>
      <c r="AW325" s="181"/>
    </row>
    <row r="326" spans="1:49" ht="13.5" customHeight="1" x14ac:dyDescent="0.3">
      <c r="A326" s="1"/>
      <c r="B326" s="181"/>
      <c r="C326" s="181"/>
      <c r="D326" s="181"/>
      <c r="E326" s="182"/>
      <c r="F326" s="182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  <c r="AC326" s="181"/>
      <c r="AD326" s="181"/>
      <c r="AE326" s="181"/>
      <c r="AF326" s="181"/>
      <c r="AG326" s="181"/>
      <c r="AH326" s="181"/>
      <c r="AI326" s="181"/>
      <c r="AJ326" s="181"/>
      <c r="AK326" s="181"/>
      <c r="AL326" s="181"/>
      <c r="AM326" s="181"/>
      <c r="AN326" s="181"/>
      <c r="AO326" s="181"/>
      <c r="AP326" s="181"/>
      <c r="AQ326" s="181"/>
      <c r="AR326" s="181"/>
      <c r="AS326" s="181"/>
      <c r="AT326" s="181"/>
      <c r="AU326" s="181"/>
      <c r="AV326" s="181"/>
      <c r="AW326" s="181"/>
    </row>
    <row r="327" spans="1:49" ht="13.5" customHeight="1" x14ac:dyDescent="0.3">
      <c r="A327" s="1"/>
      <c r="B327" s="181"/>
      <c r="C327" s="181"/>
      <c r="D327" s="181"/>
      <c r="E327" s="182"/>
      <c r="F327" s="182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81"/>
      <c r="AJ327" s="181"/>
      <c r="AK327" s="181"/>
      <c r="AL327" s="181"/>
      <c r="AM327" s="181"/>
      <c r="AN327" s="181"/>
      <c r="AO327" s="181"/>
      <c r="AP327" s="181"/>
      <c r="AQ327" s="181"/>
      <c r="AR327" s="181"/>
      <c r="AS327" s="181"/>
      <c r="AT327" s="181"/>
      <c r="AU327" s="181"/>
      <c r="AV327" s="181"/>
      <c r="AW327" s="181"/>
    </row>
    <row r="328" spans="1:49" ht="13.5" customHeight="1" x14ac:dyDescent="0.3">
      <c r="A328" s="1"/>
      <c r="B328" s="181"/>
      <c r="C328" s="181"/>
      <c r="D328" s="181"/>
      <c r="E328" s="182"/>
      <c r="F328" s="182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81"/>
      <c r="AJ328" s="181"/>
      <c r="AK328" s="181"/>
      <c r="AL328" s="181"/>
      <c r="AM328" s="181"/>
      <c r="AN328" s="181"/>
      <c r="AO328" s="181"/>
      <c r="AP328" s="181"/>
      <c r="AQ328" s="181"/>
      <c r="AR328" s="181"/>
      <c r="AS328" s="181"/>
      <c r="AT328" s="181"/>
      <c r="AU328" s="181"/>
      <c r="AV328" s="181"/>
      <c r="AW328" s="181"/>
    </row>
    <row r="329" spans="1:49" ht="13.5" customHeight="1" x14ac:dyDescent="0.3">
      <c r="A329" s="1"/>
      <c r="B329" s="181"/>
      <c r="C329" s="181"/>
      <c r="D329" s="181"/>
      <c r="E329" s="182"/>
      <c r="F329" s="182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81"/>
      <c r="AJ329" s="181"/>
      <c r="AK329" s="181"/>
      <c r="AL329" s="181"/>
      <c r="AM329" s="181"/>
      <c r="AN329" s="181"/>
      <c r="AO329" s="181"/>
      <c r="AP329" s="181"/>
      <c r="AQ329" s="181"/>
      <c r="AR329" s="181"/>
      <c r="AS329" s="181"/>
      <c r="AT329" s="181"/>
      <c r="AU329" s="181"/>
      <c r="AV329" s="181"/>
      <c r="AW329" s="181"/>
    </row>
    <row r="330" spans="1:49" ht="13.5" customHeight="1" x14ac:dyDescent="0.3">
      <c r="A330" s="1"/>
      <c r="B330" s="181"/>
      <c r="C330" s="181"/>
      <c r="D330" s="181"/>
      <c r="E330" s="182"/>
      <c r="F330" s="182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81"/>
      <c r="AJ330" s="181"/>
      <c r="AK330" s="181"/>
      <c r="AL330" s="181"/>
      <c r="AM330" s="181"/>
      <c r="AN330" s="181"/>
      <c r="AO330" s="181"/>
      <c r="AP330" s="181"/>
      <c r="AQ330" s="181"/>
      <c r="AR330" s="181"/>
      <c r="AS330" s="181"/>
      <c r="AT330" s="181"/>
      <c r="AU330" s="181"/>
      <c r="AV330" s="181"/>
      <c r="AW330" s="181"/>
    </row>
    <row r="331" spans="1:49" ht="13.5" customHeight="1" x14ac:dyDescent="0.3">
      <c r="A331" s="1"/>
      <c r="B331" s="181"/>
      <c r="C331" s="181"/>
      <c r="D331" s="181"/>
      <c r="E331" s="182"/>
      <c r="F331" s="182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81"/>
      <c r="AJ331" s="181"/>
      <c r="AK331" s="181"/>
      <c r="AL331" s="181"/>
      <c r="AM331" s="181"/>
      <c r="AN331" s="181"/>
      <c r="AO331" s="181"/>
      <c r="AP331" s="181"/>
      <c r="AQ331" s="181"/>
      <c r="AR331" s="181"/>
      <c r="AS331" s="181"/>
      <c r="AT331" s="181"/>
      <c r="AU331" s="181"/>
      <c r="AV331" s="181"/>
      <c r="AW331" s="181"/>
    </row>
    <row r="332" spans="1:49" ht="13.5" customHeight="1" x14ac:dyDescent="0.3">
      <c r="A332" s="1"/>
      <c r="B332" s="181"/>
      <c r="C332" s="181"/>
      <c r="D332" s="181"/>
      <c r="E332" s="182"/>
      <c r="F332" s="182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81"/>
      <c r="AJ332" s="181"/>
      <c r="AK332" s="181"/>
      <c r="AL332" s="181"/>
      <c r="AM332" s="181"/>
      <c r="AN332" s="181"/>
      <c r="AO332" s="181"/>
      <c r="AP332" s="181"/>
      <c r="AQ332" s="181"/>
      <c r="AR332" s="181"/>
      <c r="AS332" s="181"/>
      <c r="AT332" s="181"/>
      <c r="AU332" s="181"/>
      <c r="AV332" s="181"/>
      <c r="AW332" s="181"/>
    </row>
    <row r="333" spans="1:49" ht="13.5" customHeight="1" x14ac:dyDescent="0.3">
      <c r="A333" s="1"/>
      <c r="B333" s="181"/>
      <c r="C333" s="181"/>
      <c r="D333" s="181"/>
      <c r="E333" s="182"/>
      <c r="F333" s="182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81"/>
      <c r="AJ333" s="181"/>
      <c r="AK333" s="181"/>
      <c r="AL333" s="181"/>
      <c r="AM333" s="181"/>
      <c r="AN333" s="181"/>
      <c r="AO333" s="181"/>
      <c r="AP333" s="181"/>
      <c r="AQ333" s="181"/>
      <c r="AR333" s="181"/>
      <c r="AS333" s="181"/>
      <c r="AT333" s="181"/>
      <c r="AU333" s="181"/>
      <c r="AV333" s="181"/>
      <c r="AW333" s="181"/>
    </row>
    <row r="334" spans="1:49" ht="13.5" customHeight="1" x14ac:dyDescent="0.3">
      <c r="A334" s="1"/>
      <c r="B334" s="181"/>
      <c r="C334" s="181"/>
      <c r="D334" s="181"/>
      <c r="E334" s="182"/>
      <c r="F334" s="182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81"/>
      <c r="AJ334" s="181"/>
      <c r="AK334" s="181"/>
      <c r="AL334" s="181"/>
      <c r="AM334" s="181"/>
      <c r="AN334" s="181"/>
      <c r="AO334" s="181"/>
      <c r="AP334" s="181"/>
      <c r="AQ334" s="181"/>
      <c r="AR334" s="181"/>
      <c r="AS334" s="181"/>
      <c r="AT334" s="181"/>
      <c r="AU334" s="181"/>
      <c r="AV334" s="181"/>
      <c r="AW334" s="181"/>
    </row>
    <row r="335" spans="1:49" ht="13.5" customHeight="1" x14ac:dyDescent="0.3">
      <c r="A335" s="1"/>
      <c r="B335" s="181"/>
      <c r="C335" s="181"/>
      <c r="D335" s="181"/>
      <c r="E335" s="182"/>
      <c r="F335" s="182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81"/>
      <c r="AJ335" s="181"/>
      <c r="AK335" s="181"/>
      <c r="AL335" s="181"/>
      <c r="AM335" s="181"/>
      <c r="AN335" s="181"/>
      <c r="AO335" s="181"/>
      <c r="AP335" s="181"/>
      <c r="AQ335" s="181"/>
      <c r="AR335" s="181"/>
      <c r="AS335" s="181"/>
      <c r="AT335" s="181"/>
      <c r="AU335" s="181"/>
      <c r="AV335" s="181"/>
      <c r="AW335" s="181"/>
    </row>
    <row r="336" spans="1:49" ht="13.5" customHeight="1" x14ac:dyDescent="0.3">
      <c r="A336" s="1"/>
      <c r="B336" s="181"/>
      <c r="C336" s="181"/>
      <c r="D336" s="181"/>
      <c r="E336" s="182"/>
      <c r="F336" s="182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81"/>
      <c r="AJ336" s="181"/>
      <c r="AK336" s="181"/>
      <c r="AL336" s="181"/>
      <c r="AM336" s="181"/>
      <c r="AN336" s="181"/>
      <c r="AO336" s="181"/>
      <c r="AP336" s="181"/>
      <c r="AQ336" s="181"/>
      <c r="AR336" s="181"/>
      <c r="AS336" s="181"/>
      <c r="AT336" s="181"/>
      <c r="AU336" s="181"/>
      <c r="AV336" s="181"/>
      <c r="AW336" s="181"/>
    </row>
    <row r="337" spans="1:49" ht="13.5" customHeight="1" x14ac:dyDescent="0.3">
      <c r="A337" s="1"/>
      <c r="B337" s="181"/>
      <c r="C337" s="181"/>
      <c r="D337" s="181"/>
      <c r="E337" s="182"/>
      <c r="F337" s="182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81"/>
      <c r="AJ337" s="181"/>
      <c r="AK337" s="181"/>
      <c r="AL337" s="181"/>
      <c r="AM337" s="181"/>
      <c r="AN337" s="181"/>
      <c r="AO337" s="181"/>
      <c r="AP337" s="181"/>
      <c r="AQ337" s="181"/>
      <c r="AR337" s="181"/>
      <c r="AS337" s="181"/>
      <c r="AT337" s="181"/>
      <c r="AU337" s="181"/>
      <c r="AV337" s="181"/>
      <c r="AW337" s="181"/>
    </row>
    <row r="338" spans="1:49" ht="13.5" customHeight="1" x14ac:dyDescent="0.3">
      <c r="A338" s="1"/>
      <c r="B338" s="181"/>
      <c r="C338" s="181"/>
      <c r="D338" s="181"/>
      <c r="E338" s="182"/>
      <c r="F338" s="182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81"/>
      <c r="AJ338" s="181"/>
      <c r="AK338" s="181"/>
      <c r="AL338" s="181"/>
      <c r="AM338" s="181"/>
      <c r="AN338" s="181"/>
      <c r="AO338" s="181"/>
      <c r="AP338" s="181"/>
      <c r="AQ338" s="181"/>
      <c r="AR338" s="181"/>
      <c r="AS338" s="181"/>
      <c r="AT338" s="181"/>
      <c r="AU338" s="181"/>
      <c r="AV338" s="181"/>
      <c r="AW338" s="181"/>
    </row>
    <row r="339" spans="1:49" ht="13.5" customHeight="1" x14ac:dyDescent="0.3">
      <c r="A339" s="1"/>
      <c r="B339" s="181"/>
      <c r="C339" s="181"/>
      <c r="D339" s="181"/>
      <c r="E339" s="182"/>
      <c r="F339" s="182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81"/>
      <c r="AJ339" s="181"/>
      <c r="AK339" s="181"/>
      <c r="AL339" s="181"/>
      <c r="AM339" s="181"/>
      <c r="AN339" s="181"/>
      <c r="AO339" s="181"/>
      <c r="AP339" s="181"/>
      <c r="AQ339" s="181"/>
      <c r="AR339" s="181"/>
      <c r="AS339" s="181"/>
      <c r="AT339" s="181"/>
      <c r="AU339" s="181"/>
      <c r="AV339" s="181"/>
      <c r="AW339" s="181"/>
    </row>
    <row r="340" spans="1:49" ht="13.5" customHeight="1" x14ac:dyDescent="0.3">
      <c r="A340" s="1"/>
      <c r="B340" s="181"/>
      <c r="C340" s="181"/>
      <c r="D340" s="181"/>
      <c r="E340" s="182"/>
      <c r="F340" s="182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81"/>
      <c r="AJ340" s="181"/>
      <c r="AK340" s="181"/>
      <c r="AL340" s="181"/>
      <c r="AM340" s="181"/>
      <c r="AN340" s="181"/>
      <c r="AO340" s="181"/>
      <c r="AP340" s="181"/>
      <c r="AQ340" s="181"/>
      <c r="AR340" s="181"/>
      <c r="AS340" s="181"/>
      <c r="AT340" s="181"/>
      <c r="AU340" s="181"/>
      <c r="AV340" s="181"/>
      <c r="AW340" s="181"/>
    </row>
    <row r="341" spans="1:49" ht="13.5" customHeight="1" x14ac:dyDescent="0.3">
      <c r="A341" s="1"/>
      <c r="B341" s="181"/>
      <c r="C341" s="181"/>
      <c r="D341" s="181"/>
      <c r="E341" s="182"/>
      <c r="F341" s="182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81"/>
      <c r="AJ341" s="181"/>
      <c r="AK341" s="181"/>
      <c r="AL341" s="181"/>
      <c r="AM341" s="181"/>
      <c r="AN341" s="181"/>
      <c r="AO341" s="181"/>
      <c r="AP341" s="181"/>
      <c r="AQ341" s="181"/>
      <c r="AR341" s="181"/>
      <c r="AS341" s="181"/>
      <c r="AT341" s="181"/>
      <c r="AU341" s="181"/>
      <c r="AV341" s="181"/>
      <c r="AW341" s="181"/>
    </row>
    <row r="342" spans="1:49" ht="13.5" customHeight="1" x14ac:dyDescent="0.3">
      <c r="A342" s="1"/>
      <c r="B342" s="181"/>
      <c r="C342" s="181"/>
      <c r="D342" s="181"/>
      <c r="E342" s="182"/>
      <c r="F342" s="182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81"/>
      <c r="AI342" s="181"/>
      <c r="AJ342" s="181"/>
      <c r="AK342" s="181"/>
      <c r="AL342" s="181"/>
      <c r="AM342" s="181"/>
      <c r="AN342" s="181"/>
      <c r="AO342" s="181"/>
      <c r="AP342" s="181"/>
      <c r="AQ342" s="181"/>
      <c r="AR342" s="181"/>
      <c r="AS342" s="181"/>
      <c r="AT342" s="181"/>
      <c r="AU342" s="181"/>
      <c r="AV342" s="181"/>
      <c r="AW342" s="181"/>
    </row>
    <row r="343" spans="1:49" ht="13.5" customHeight="1" x14ac:dyDescent="0.3">
      <c r="A343" s="1"/>
      <c r="B343" s="181"/>
      <c r="C343" s="181"/>
      <c r="D343" s="181"/>
      <c r="E343" s="182"/>
      <c r="F343" s="182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  <c r="AC343" s="181"/>
      <c r="AD343" s="181"/>
      <c r="AE343" s="181"/>
      <c r="AF343" s="181"/>
      <c r="AG343" s="181"/>
      <c r="AH343" s="181"/>
      <c r="AI343" s="181"/>
      <c r="AJ343" s="181"/>
      <c r="AK343" s="181"/>
      <c r="AL343" s="181"/>
      <c r="AM343" s="181"/>
      <c r="AN343" s="181"/>
      <c r="AO343" s="181"/>
      <c r="AP343" s="181"/>
      <c r="AQ343" s="181"/>
      <c r="AR343" s="181"/>
      <c r="AS343" s="181"/>
      <c r="AT343" s="181"/>
      <c r="AU343" s="181"/>
      <c r="AV343" s="181"/>
      <c r="AW343" s="181"/>
    </row>
    <row r="344" spans="1:49" ht="13.5" customHeight="1" x14ac:dyDescent="0.3">
      <c r="A344" s="1"/>
      <c r="B344" s="181"/>
      <c r="C344" s="181"/>
      <c r="D344" s="181"/>
      <c r="E344" s="182"/>
      <c r="F344" s="182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  <c r="AC344" s="181"/>
      <c r="AD344" s="181"/>
      <c r="AE344" s="181"/>
      <c r="AF344" s="181"/>
      <c r="AG344" s="181"/>
      <c r="AH344" s="181"/>
      <c r="AI344" s="181"/>
      <c r="AJ344" s="181"/>
      <c r="AK344" s="181"/>
      <c r="AL344" s="181"/>
      <c r="AM344" s="181"/>
      <c r="AN344" s="181"/>
      <c r="AO344" s="181"/>
      <c r="AP344" s="181"/>
      <c r="AQ344" s="181"/>
      <c r="AR344" s="181"/>
      <c r="AS344" s="181"/>
      <c r="AT344" s="181"/>
      <c r="AU344" s="181"/>
      <c r="AV344" s="181"/>
      <c r="AW344" s="181"/>
    </row>
    <row r="345" spans="1:49" ht="13.5" customHeight="1" x14ac:dyDescent="0.3">
      <c r="A345" s="1"/>
      <c r="B345" s="181"/>
      <c r="C345" s="181"/>
      <c r="D345" s="181"/>
      <c r="E345" s="182"/>
      <c r="F345" s="182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  <c r="AC345" s="181"/>
      <c r="AD345" s="181"/>
      <c r="AE345" s="181"/>
      <c r="AF345" s="181"/>
      <c r="AG345" s="181"/>
      <c r="AH345" s="181"/>
      <c r="AI345" s="181"/>
      <c r="AJ345" s="181"/>
      <c r="AK345" s="181"/>
      <c r="AL345" s="181"/>
      <c r="AM345" s="181"/>
      <c r="AN345" s="181"/>
      <c r="AO345" s="181"/>
      <c r="AP345" s="181"/>
      <c r="AQ345" s="181"/>
      <c r="AR345" s="181"/>
      <c r="AS345" s="181"/>
      <c r="AT345" s="181"/>
      <c r="AU345" s="181"/>
      <c r="AV345" s="181"/>
      <c r="AW345" s="181"/>
    </row>
    <row r="346" spans="1:49" ht="13.5" customHeight="1" x14ac:dyDescent="0.3">
      <c r="A346" s="1"/>
      <c r="B346" s="181"/>
      <c r="C346" s="181"/>
      <c r="D346" s="181"/>
      <c r="E346" s="182"/>
      <c r="F346" s="182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  <c r="AC346" s="181"/>
      <c r="AD346" s="181"/>
      <c r="AE346" s="181"/>
      <c r="AF346" s="181"/>
      <c r="AG346" s="181"/>
      <c r="AH346" s="181"/>
      <c r="AI346" s="181"/>
      <c r="AJ346" s="181"/>
      <c r="AK346" s="181"/>
      <c r="AL346" s="181"/>
      <c r="AM346" s="181"/>
      <c r="AN346" s="181"/>
      <c r="AO346" s="181"/>
      <c r="AP346" s="181"/>
      <c r="AQ346" s="181"/>
      <c r="AR346" s="181"/>
      <c r="AS346" s="181"/>
      <c r="AT346" s="181"/>
      <c r="AU346" s="181"/>
      <c r="AV346" s="181"/>
      <c r="AW346" s="181"/>
    </row>
    <row r="347" spans="1:49" ht="13.5" customHeight="1" x14ac:dyDescent="0.3">
      <c r="A347" s="1"/>
      <c r="B347" s="181"/>
      <c r="C347" s="181"/>
      <c r="D347" s="181"/>
      <c r="E347" s="182"/>
      <c r="F347" s="182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  <c r="AC347" s="181"/>
      <c r="AD347" s="181"/>
      <c r="AE347" s="181"/>
      <c r="AF347" s="181"/>
      <c r="AG347" s="181"/>
      <c r="AH347" s="181"/>
      <c r="AI347" s="181"/>
      <c r="AJ347" s="181"/>
      <c r="AK347" s="181"/>
      <c r="AL347" s="181"/>
      <c r="AM347" s="181"/>
      <c r="AN347" s="181"/>
      <c r="AO347" s="181"/>
      <c r="AP347" s="181"/>
      <c r="AQ347" s="181"/>
      <c r="AR347" s="181"/>
      <c r="AS347" s="181"/>
      <c r="AT347" s="181"/>
      <c r="AU347" s="181"/>
      <c r="AV347" s="181"/>
      <c r="AW347" s="181"/>
    </row>
    <row r="348" spans="1:49" ht="13.5" customHeight="1" x14ac:dyDescent="0.3">
      <c r="A348" s="1"/>
      <c r="B348" s="181"/>
      <c r="C348" s="181"/>
      <c r="D348" s="181"/>
      <c r="E348" s="182"/>
      <c r="F348" s="182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  <c r="AC348" s="181"/>
      <c r="AD348" s="181"/>
      <c r="AE348" s="181"/>
      <c r="AF348" s="181"/>
      <c r="AG348" s="181"/>
      <c r="AH348" s="181"/>
      <c r="AI348" s="181"/>
      <c r="AJ348" s="181"/>
      <c r="AK348" s="181"/>
      <c r="AL348" s="181"/>
      <c r="AM348" s="181"/>
      <c r="AN348" s="181"/>
      <c r="AO348" s="181"/>
      <c r="AP348" s="181"/>
      <c r="AQ348" s="181"/>
      <c r="AR348" s="181"/>
      <c r="AS348" s="181"/>
      <c r="AT348" s="181"/>
      <c r="AU348" s="181"/>
      <c r="AV348" s="181"/>
      <c r="AW348" s="181"/>
    </row>
    <row r="349" spans="1:49" ht="13.5" customHeight="1" x14ac:dyDescent="0.3">
      <c r="A349" s="1"/>
      <c r="B349" s="181"/>
      <c r="C349" s="181"/>
      <c r="D349" s="181"/>
      <c r="E349" s="182"/>
      <c r="F349" s="182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  <c r="AC349" s="181"/>
      <c r="AD349" s="181"/>
      <c r="AE349" s="181"/>
      <c r="AF349" s="181"/>
      <c r="AG349" s="181"/>
      <c r="AH349" s="181"/>
      <c r="AI349" s="181"/>
      <c r="AJ349" s="181"/>
      <c r="AK349" s="181"/>
      <c r="AL349" s="181"/>
      <c r="AM349" s="181"/>
      <c r="AN349" s="181"/>
      <c r="AO349" s="181"/>
      <c r="AP349" s="181"/>
      <c r="AQ349" s="181"/>
      <c r="AR349" s="181"/>
      <c r="AS349" s="181"/>
      <c r="AT349" s="181"/>
      <c r="AU349" s="181"/>
      <c r="AV349" s="181"/>
      <c r="AW349" s="181"/>
    </row>
    <row r="350" spans="1:49" ht="13.5" customHeight="1" x14ac:dyDescent="0.3">
      <c r="A350" s="1"/>
      <c r="B350" s="181"/>
      <c r="C350" s="181"/>
      <c r="D350" s="181"/>
      <c r="E350" s="182"/>
      <c r="F350" s="182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81"/>
      <c r="AJ350" s="181"/>
      <c r="AK350" s="181"/>
      <c r="AL350" s="181"/>
      <c r="AM350" s="181"/>
      <c r="AN350" s="181"/>
      <c r="AO350" s="181"/>
      <c r="AP350" s="181"/>
      <c r="AQ350" s="181"/>
      <c r="AR350" s="181"/>
      <c r="AS350" s="181"/>
      <c r="AT350" s="181"/>
      <c r="AU350" s="181"/>
      <c r="AV350" s="181"/>
      <c r="AW350" s="181"/>
    </row>
    <row r="351" spans="1:49" ht="13.5" customHeight="1" x14ac:dyDescent="0.3">
      <c r="A351" s="1"/>
      <c r="B351" s="181"/>
      <c r="C351" s="181"/>
      <c r="D351" s="181"/>
      <c r="E351" s="182"/>
      <c r="F351" s="182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81"/>
      <c r="AJ351" s="181"/>
      <c r="AK351" s="181"/>
      <c r="AL351" s="181"/>
      <c r="AM351" s="181"/>
      <c r="AN351" s="181"/>
      <c r="AO351" s="181"/>
      <c r="AP351" s="181"/>
      <c r="AQ351" s="181"/>
      <c r="AR351" s="181"/>
      <c r="AS351" s="181"/>
      <c r="AT351" s="181"/>
      <c r="AU351" s="181"/>
      <c r="AV351" s="181"/>
      <c r="AW351" s="181"/>
    </row>
    <row r="352" spans="1:49" ht="13.5" customHeight="1" x14ac:dyDescent="0.3">
      <c r="A352" s="1"/>
      <c r="B352" s="181"/>
      <c r="C352" s="181"/>
      <c r="D352" s="181"/>
      <c r="E352" s="182"/>
      <c r="F352" s="182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81"/>
      <c r="AJ352" s="181"/>
      <c r="AK352" s="181"/>
      <c r="AL352" s="181"/>
      <c r="AM352" s="181"/>
      <c r="AN352" s="181"/>
      <c r="AO352" s="181"/>
      <c r="AP352" s="181"/>
      <c r="AQ352" s="181"/>
      <c r="AR352" s="181"/>
      <c r="AS352" s="181"/>
      <c r="AT352" s="181"/>
      <c r="AU352" s="181"/>
      <c r="AV352" s="181"/>
      <c r="AW352" s="181"/>
    </row>
    <row r="353" spans="1:49" ht="13.5" customHeight="1" x14ac:dyDescent="0.3">
      <c r="A353" s="1"/>
      <c r="B353" s="181"/>
      <c r="C353" s="181"/>
      <c r="D353" s="181"/>
      <c r="E353" s="182"/>
      <c r="F353" s="182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81"/>
      <c r="AJ353" s="181"/>
      <c r="AK353" s="181"/>
      <c r="AL353" s="181"/>
      <c r="AM353" s="181"/>
      <c r="AN353" s="181"/>
      <c r="AO353" s="181"/>
      <c r="AP353" s="181"/>
      <c r="AQ353" s="181"/>
      <c r="AR353" s="181"/>
      <c r="AS353" s="181"/>
      <c r="AT353" s="181"/>
      <c r="AU353" s="181"/>
      <c r="AV353" s="181"/>
      <c r="AW353" s="181"/>
    </row>
    <row r="354" spans="1:49" ht="13.5" customHeight="1" x14ac:dyDescent="0.3">
      <c r="A354" s="1"/>
      <c r="B354" s="181"/>
      <c r="C354" s="181"/>
      <c r="D354" s="181"/>
      <c r="E354" s="182"/>
      <c r="F354" s="182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81"/>
      <c r="AJ354" s="181"/>
      <c r="AK354" s="181"/>
      <c r="AL354" s="181"/>
      <c r="AM354" s="181"/>
      <c r="AN354" s="181"/>
      <c r="AO354" s="181"/>
      <c r="AP354" s="181"/>
      <c r="AQ354" s="181"/>
      <c r="AR354" s="181"/>
      <c r="AS354" s="181"/>
      <c r="AT354" s="181"/>
      <c r="AU354" s="181"/>
      <c r="AV354" s="181"/>
      <c r="AW354" s="181"/>
    </row>
    <row r="355" spans="1:49" ht="13.5" customHeight="1" x14ac:dyDescent="0.3">
      <c r="A355" s="1"/>
      <c r="B355" s="181"/>
      <c r="C355" s="181"/>
      <c r="D355" s="181"/>
      <c r="E355" s="182"/>
      <c r="F355" s="182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81"/>
      <c r="AJ355" s="181"/>
      <c r="AK355" s="181"/>
      <c r="AL355" s="181"/>
      <c r="AM355" s="181"/>
      <c r="AN355" s="181"/>
      <c r="AO355" s="181"/>
      <c r="AP355" s="181"/>
      <c r="AQ355" s="181"/>
      <c r="AR355" s="181"/>
      <c r="AS355" s="181"/>
      <c r="AT355" s="181"/>
      <c r="AU355" s="181"/>
      <c r="AV355" s="181"/>
      <c r="AW355" s="181"/>
    </row>
    <row r="356" spans="1:49" ht="13.5" customHeight="1" x14ac:dyDescent="0.3">
      <c r="A356" s="1"/>
      <c r="B356" s="181"/>
      <c r="C356" s="181"/>
      <c r="D356" s="181"/>
      <c r="E356" s="182"/>
      <c r="F356" s="182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81"/>
      <c r="AJ356" s="181"/>
      <c r="AK356" s="181"/>
      <c r="AL356" s="181"/>
      <c r="AM356" s="181"/>
      <c r="AN356" s="181"/>
      <c r="AO356" s="181"/>
      <c r="AP356" s="181"/>
      <c r="AQ356" s="181"/>
      <c r="AR356" s="181"/>
      <c r="AS356" s="181"/>
      <c r="AT356" s="181"/>
      <c r="AU356" s="181"/>
      <c r="AV356" s="181"/>
      <c r="AW356" s="181"/>
    </row>
    <row r="357" spans="1:49" ht="13.5" customHeight="1" x14ac:dyDescent="0.3">
      <c r="A357" s="1"/>
      <c r="B357" s="181"/>
      <c r="C357" s="181"/>
      <c r="D357" s="181"/>
      <c r="E357" s="182"/>
      <c r="F357" s="182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81"/>
      <c r="AJ357" s="181"/>
      <c r="AK357" s="181"/>
      <c r="AL357" s="181"/>
      <c r="AM357" s="181"/>
      <c r="AN357" s="181"/>
      <c r="AO357" s="181"/>
      <c r="AP357" s="181"/>
      <c r="AQ357" s="181"/>
      <c r="AR357" s="181"/>
      <c r="AS357" s="181"/>
      <c r="AT357" s="181"/>
      <c r="AU357" s="181"/>
      <c r="AV357" s="181"/>
      <c r="AW357" s="181"/>
    </row>
    <row r="358" spans="1:49" ht="13.5" customHeight="1" x14ac:dyDescent="0.3">
      <c r="A358" s="1"/>
      <c r="B358" s="181"/>
      <c r="C358" s="181"/>
      <c r="D358" s="181"/>
      <c r="E358" s="182"/>
      <c r="F358" s="182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81"/>
      <c r="AJ358" s="181"/>
      <c r="AK358" s="181"/>
      <c r="AL358" s="181"/>
      <c r="AM358" s="181"/>
      <c r="AN358" s="181"/>
      <c r="AO358" s="181"/>
      <c r="AP358" s="181"/>
      <c r="AQ358" s="181"/>
      <c r="AR358" s="181"/>
      <c r="AS358" s="181"/>
      <c r="AT358" s="181"/>
      <c r="AU358" s="181"/>
      <c r="AV358" s="181"/>
      <c r="AW358" s="181"/>
    </row>
    <row r="359" spans="1:49" ht="13.5" customHeight="1" x14ac:dyDescent="0.3">
      <c r="A359" s="1"/>
      <c r="B359" s="181"/>
      <c r="C359" s="181"/>
      <c r="D359" s="181"/>
      <c r="E359" s="182"/>
      <c r="F359" s="182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81"/>
      <c r="AJ359" s="181"/>
      <c r="AK359" s="181"/>
      <c r="AL359" s="181"/>
      <c r="AM359" s="181"/>
      <c r="AN359" s="181"/>
      <c r="AO359" s="181"/>
      <c r="AP359" s="181"/>
      <c r="AQ359" s="181"/>
      <c r="AR359" s="181"/>
      <c r="AS359" s="181"/>
      <c r="AT359" s="181"/>
      <c r="AU359" s="181"/>
      <c r="AV359" s="181"/>
      <c r="AW359" s="181"/>
    </row>
    <row r="360" spans="1:49" ht="13.5" customHeight="1" x14ac:dyDescent="0.3">
      <c r="A360" s="1"/>
      <c r="B360" s="181"/>
      <c r="C360" s="181"/>
      <c r="D360" s="181"/>
      <c r="E360" s="182"/>
      <c r="F360" s="182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81"/>
      <c r="AJ360" s="181"/>
      <c r="AK360" s="181"/>
      <c r="AL360" s="181"/>
      <c r="AM360" s="181"/>
      <c r="AN360" s="181"/>
      <c r="AO360" s="181"/>
      <c r="AP360" s="181"/>
      <c r="AQ360" s="181"/>
      <c r="AR360" s="181"/>
      <c r="AS360" s="181"/>
      <c r="AT360" s="181"/>
      <c r="AU360" s="181"/>
      <c r="AV360" s="181"/>
      <c r="AW360" s="181"/>
    </row>
    <row r="361" spans="1:49" ht="13.5" customHeight="1" x14ac:dyDescent="0.3">
      <c r="A361" s="1"/>
      <c r="B361" s="181"/>
      <c r="C361" s="181"/>
      <c r="D361" s="181"/>
      <c r="E361" s="182"/>
      <c r="F361" s="182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81"/>
      <c r="AJ361" s="181"/>
      <c r="AK361" s="181"/>
      <c r="AL361" s="181"/>
      <c r="AM361" s="181"/>
      <c r="AN361" s="181"/>
      <c r="AO361" s="181"/>
      <c r="AP361" s="181"/>
      <c r="AQ361" s="181"/>
      <c r="AR361" s="181"/>
      <c r="AS361" s="181"/>
      <c r="AT361" s="181"/>
      <c r="AU361" s="181"/>
      <c r="AV361" s="181"/>
      <c r="AW361" s="181"/>
    </row>
    <row r="362" spans="1:49" ht="13.5" customHeight="1" x14ac:dyDescent="0.3">
      <c r="A362" s="1"/>
      <c r="B362" s="181"/>
      <c r="C362" s="181"/>
      <c r="D362" s="181"/>
      <c r="E362" s="182"/>
      <c r="F362" s="182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81"/>
      <c r="AJ362" s="181"/>
      <c r="AK362" s="181"/>
      <c r="AL362" s="181"/>
      <c r="AM362" s="181"/>
      <c r="AN362" s="181"/>
      <c r="AO362" s="181"/>
      <c r="AP362" s="181"/>
      <c r="AQ362" s="181"/>
      <c r="AR362" s="181"/>
      <c r="AS362" s="181"/>
      <c r="AT362" s="181"/>
      <c r="AU362" s="181"/>
      <c r="AV362" s="181"/>
      <c r="AW362" s="181"/>
    </row>
    <row r="363" spans="1:49" ht="13.5" customHeight="1" x14ac:dyDescent="0.3">
      <c r="A363" s="1"/>
      <c r="B363" s="181"/>
      <c r="C363" s="181"/>
      <c r="D363" s="181"/>
      <c r="E363" s="182"/>
      <c r="F363" s="182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81"/>
      <c r="AJ363" s="181"/>
      <c r="AK363" s="181"/>
      <c r="AL363" s="181"/>
      <c r="AM363" s="181"/>
      <c r="AN363" s="181"/>
      <c r="AO363" s="181"/>
      <c r="AP363" s="181"/>
      <c r="AQ363" s="181"/>
      <c r="AR363" s="181"/>
      <c r="AS363" s="181"/>
      <c r="AT363" s="181"/>
      <c r="AU363" s="181"/>
      <c r="AV363" s="181"/>
      <c r="AW363" s="181"/>
    </row>
    <row r="364" spans="1:49" ht="13.5" customHeight="1" x14ac:dyDescent="0.3">
      <c r="A364" s="1"/>
      <c r="B364" s="181"/>
      <c r="C364" s="181"/>
      <c r="D364" s="181"/>
      <c r="E364" s="182"/>
      <c r="F364" s="182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81"/>
      <c r="AJ364" s="181"/>
      <c r="AK364" s="181"/>
      <c r="AL364" s="181"/>
      <c r="AM364" s="181"/>
      <c r="AN364" s="181"/>
      <c r="AO364" s="181"/>
      <c r="AP364" s="181"/>
      <c r="AQ364" s="181"/>
      <c r="AR364" s="181"/>
      <c r="AS364" s="181"/>
      <c r="AT364" s="181"/>
      <c r="AU364" s="181"/>
      <c r="AV364" s="181"/>
      <c r="AW364" s="181"/>
    </row>
    <row r="365" spans="1:49" ht="13.5" customHeight="1" x14ac:dyDescent="0.3">
      <c r="A365" s="1"/>
      <c r="B365" s="181"/>
      <c r="C365" s="181"/>
      <c r="D365" s="181"/>
      <c r="E365" s="182"/>
      <c r="F365" s="182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81"/>
      <c r="AI365" s="181"/>
      <c r="AJ365" s="181"/>
      <c r="AK365" s="181"/>
      <c r="AL365" s="181"/>
      <c r="AM365" s="181"/>
      <c r="AN365" s="181"/>
      <c r="AO365" s="181"/>
      <c r="AP365" s="181"/>
      <c r="AQ365" s="181"/>
      <c r="AR365" s="181"/>
      <c r="AS365" s="181"/>
      <c r="AT365" s="181"/>
      <c r="AU365" s="181"/>
      <c r="AV365" s="181"/>
      <c r="AW365" s="181"/>
    </row>
    <row r="366" spans="1:49" ht="13.5" customHeight="1" x14ac:dyDescent="0.3">
      <c r="A366" s="1"/>
      <c r="B366" s="181"/>
      <c r="C366" s="181"/>
      <c r="D366" s="181"/>
      <c r="E366" s="182"/>
      <c r="F366" s="182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  <c r="AC366" s="181"/>
      <c r="AD366" s="181"/>
      <c r="AE366" s="181"/>
      <c r="AF366" s="181"/>
      <c r="AG366" s="181"/>
      <c r="AH366" s="181"/>
      <c r="AI366" s="181"/>
      <c r="AJ366" s="181"/>
      <c r="AK366" s="181"/>
      <c r="AL366" s="181"/>
      <c r="AM366" s="181"/>
      <c r="AN366" s="181"/>
      <c r="AO366" s="181"/>
      <c r="AP366" s="181"/>
      <c r="AQ366" s="181"/>
      <c r="AR366" s="181"/>
      <c r="AS366" s="181"/>
      <c r="AT366" s="181"/>
      <c r="AU366" s="181"/>
      <c r="AV366" s="181"/>
      <c r="AW366" s="181"/>
    </row>
    <row r="367" spans="1:49" ht="13.5" customHeight="1" x14ac:dyDescent="0.3">
      <c r="A367" s="1"/>
      <c r="B367" s="181"/>
      <c r="C367" s="181"/>
      <c r="D367" s="181"/>
      <c r="E367" s="182"/>
      <c r="F367" s="182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  <c r="AC367" s="181"/>
      <c r="AD367" s="181"/>
      <c r="AE367" s="181"/>
      <c r="AF367" s="181"/>
      <c r="AG367" s="181"/>
      <c r="AH367" s="181"/>
      <c r="AI367" s="181"/>
      <c r="AJ367" s="181"/>
      <c r="AK367" s="181"/>
      <c r="AL367" s="181"/>
      <c r="AM367" s="181"/>
      <c r="AN367" s="181"/>
      <c r="AO367" s="181"/>
      <c r="AP367" s="181"/>
      <c r="AQ367" s="181"/>
      <c r="AR367" s="181"/>
      <c r="AS367" s="181"/>
      <c r="AT367" s="181"/>
      <c r="AU367" s="181"/>
      <c r="AV367" s="181"/>
      <c r="AW367" s="181"/>
    </row>
    <row r="368" spans="1:49" ht="13.5" customHeight="1" x14ac:dyDescent="0.3">
      <c r="A368" s="1"/>
      <c r="B368" s="181"/>
      <c r="C368" s="181"/>
      <c r="D368" s="181"/>
      <c r="E368" s="182"/>
      <c r="F368" s="182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  <c r="AC368" s="181"/>
      <c r="AD368" s="181"/>
      <c r="AE368" s="181"/>
      <c r="AF368" s="181"/>
      <c r="AG368" s="181"/>
      <c r="AH368" s="181"/>
      <c r="AI368" s="181"/>
      <c r="AJ368" s="181"/>
      <c r="AK368" s="181"/>
      <c r="AL368" s="181"/>
      <c r="AM368" s="181"/>
      <c r="AN368" s="181"/>
      <c r="AO368" s="181"/>
      <c r="AP368" s="181"/>
      <c r="AQ368" s="181"/>
      <c r="AR368" s="181"/>
      <c r="AS368" s="181"/>
      <c r="AT368" s="181"/>
      <c r="AU368" s="181"/>
      <c r="AV368" s="181"/>
      <c r="AW368" s="181"/>
    </row>
    <row r="369" spans="1:49" ht="13.5" customHeight="1" x14ac:dyDescent="0.3">
      <c r="A369" s="1"/>
      <c r="B369" s="181"/>
      <c r="C369" s="181"/>
      <c r="D369" s="181"/>
      <c r="E369" s="182"/>
      <c r="F369" s="182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  <c r="AC369" s="181"/>
      <c r="AD369" s="181"/>
      <c r="AE369" s="181"/>
      <c r="AF369" s="181"/>
      <c r="AG369" s="181"/>
      <c r="AH369" s="181"/>
      <c r="AI369" s="181"/>
      <c r="AJ369" s="181"/>
      <c r="AK369" s="181"/>
      <c r="AL369" s="181"/>
      <c r="AM369" s="181"/>
      <c r="AN369" s="181"/>
      <c r="AO369" s="181"/>
      <c r="AP369" s="181"/>
      <c r="AQ369" s="181"/>
      <c r="AR369" s="181"/>
      <c r="AS369" s="181"/>
      <c r="AT369" s="181"/>
      <c r="AU369" s="181"/>
      <c r="AV369" s="181"/>
      <c r="AW369" s="181"/>
    </row>
    <row r="370" spans="1:49" ht="13.5" customHeight="1" x14ac:dyDescent="0.3">
      <c r="A370" s="1"/>
      <c r="B370" s="181"/>
      <c r="C370" s="181"/>
      <c r="D370" s="181"/>
      <c r="E370" s="182"/>
      <c r="F370" s="182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  <c r="AC370" s="181"/>
      <c r="AD370" s="181"/>
      <c r="AE370" s="181"/>
      <c r="AF370" s="181"/>
      <c r="AG370" s="181"/>
      <c r="AH370" s="181"/>
      <c r="AI370" s="181"/>
      <c r="AJ370" s="181"/>
      <c r="AK370" s="181"/>
      <c r="AL370" s="181"/>
      <c r="AM370" s="181"/>
      <c r="AN370" s="181"/>
      <c r="AO370" s="181"/>
      <c r="AP370" s="181"/>
      <c r="AQ370" s="181"/>
      <c r="AR370" s="181"/>
      <c r="AS370" s="181"/>
      <c r="AT370" s="181"/>
      <c r="AU370" s="181"/>
      <c r="AV370" s="181"/>
      <c r="AW370" s="181"/>
    </row>
    <row r="371" spans="1:49" ht="13.5" customHeight="1" x14ac:dyDescent="0.3">
      <c r="A371" s="1"/>
      <c r="B371" s="181"/>
      <c r="C371" s="181"/>
      <c r="D371" s="181"/>
      <c r="E371" s="182"/>
      <c r="F371" s="182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  <c r="AC371" s="181"/>
      <c r="AD371" s="181"/>
      <c r="AE371" s="181"/>
      <c r="AF371" s="181"/>
      <c r="AG371" s="181"/>
      <c r="AH371" s="181"/>
      <c r="AI371" s="181"/>
      <c r="AJ371" s="181"/>
      <c r="AK371" s="181"/>
      <c r="AL371" s="181"/>
      <c r="AM371" s="181"/>
      <c r="AN371" s="181"/>
      <c r="AO371" s="181"/>
      <c r="AP371" s="181"/>
      <c r="AQ371" s="181"/>
      <c r="AR371" s="181"/>
      <c r="AS371" s="181"/>
      <c r="AT371" s="181"/>
      <c r="AU371" s="181"/>
      <c r="AV371" s="181"/>
      <c r="AW371" s="181"/>
    </row>
    <row r="372" spans="1:49" ht="13.5" customHeight="1" x14ac:dyDescent="0.3">
      <c r="A372" s="1"/>
      <c r="B372" s="181"/>
      <c r="C372" s="181"/>
      <c r="D372" s="181"/>
      <c r="E372" s="182"/>
      <c r="F372" s="182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  <c r="AC372" s="181"/>
      <c r="AD372" s="181"/>
      <c r="AE372" s="181"/>
      <c r="AF372" s="181"/>
      <c r="AG372" s="181"/>
      <c r="AH372" s="181"/>
      <c r="AI372" s="181"/>
      <c r="AJ372" s="181"/>
      <c r="AK372" s="181"/>
      <c r="AL372" s="181"/>
      <c r="AM372" s="181"/>
      <c r="AN372" s="181"/>
      <c r="AO372" s="181"/>
      <c r="AP372" s="181"/>
      <c r="AQ372" s="181"/>
      <c r="AR372" s="181"/>
      <c r="AS372" s="181"/>
      <c r="AT372" s="181"/>
      <c r="AU372" s="181"/>
      <c r="AV372" s="181"/>
      <c r="AW372" s="181"/>
    </row>
    <row r="373" spans="1:49" ht="13.5" customHeight="1" x14ac:dyDescent="0.3">
      <c r="A373" s="1"/>
      <c r="B373" s="181"/>
      <c r="C373" s="181"/>
      <c r="D373" s="181"/>
      <c r="E373" s="182"/>
      <c r="F373" s="182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81"/>
      <c r="AJ373" s="181"/>
      <c r="AK373" s="181"/>
      <c r="AL373" s="181"/>
      <c r="AM373" s="181"/>
      <c r="AN373" s="181"/>
      <c r="AO373" s="181"/>
      <c r="AP373" s="181"/>
      <c r="AQ373" s="181"/>
      <c r="AR373" s="181"/>
      <c r="AS373" s="181"/>
      <c r="AT373" s="181"/>
      <c r="AU373" s="181"/>
      <c r="AV373" s="181"/>
      <c r="AW373" s="181"/>
    </row>
    <row r="374" spans="1:49" ht="13.5" customHeight="1" x14ac:dyDescent="0.3">
      <c r="A374" s="1"/>
      <c r="B374" s="181"/>
      <c r="C374" s="181"/>
      <c r="D374" s="181"/>
      <c r="E374" s="182"/>
      <c r="F374" s="182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81"/>
      <c r="AJ374" s="181"/>
      <c r="AK374" s="181"/>
      <c r="AL374" s="181"/>
      <c r="AM374" s="181"/>
      <c r="AN374" s="181"/>
      <c r="AO374" s="181"/>
      <c r="AP374" s="181"/>
      <c r="AQ374" s="181"/>
      <c r="AR374" s="181"/>
      <c r="AS374" s="181"/>
      <c r="AT374" s="181"/>
      <c r="AU374" s="181"/>
      <c r="AV374" s="181"/>
      <c r="AW374" s="181"/>
    </row>
    <row r="375" spans="1:49" ht="13.5" customHeight="1" x14ac:dyDescent="0.3">
      <c r="A375" s="1"/>
      <c r="B375" s="181"/>
      <c r="C375" s="181"/>
      <c r="D375" s="181"/>
      <c r="E375" s="182"/>
      <c r="F375" s="182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81"/>
      <c r="AJ375" s="181"/>
      <c r="AK375" s="181"/>
      <c r="AL375" s="181"/>
      <c r="AM375" s="181"/>
      <c r="AN375" s="181"/>
      <c r="AO375" s="181"/>
      <c r="AP375" s="181"/>
      <c r="AQ375" s="181"/>
      <c r="AR375" s="181"/>
      <c r="AS375" s="181"/>
      <c r="AT375" s="181"/>
      <c r="AU375" s="181"/>
      <c r="AV375" s="181"/>
      <c r="AW375" s="181"/>
    </row>
    <row r="376" spans="1:49" ht="13.5" customHeight="1" x14ac:dyDescent="0.3">
      <c r="A376" s="1"/>
      <c r="B376" s="181"/>
      <c r="C376" s="181"/>
      <c r="D376" s="181"/>
      <c r="E376" s="182"/>
      <c r="F376" s="182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81"/>
      <c r="AJ376" s="181"/>
      <c r="AK376" s="181"/>
      <c r="AL376" s="181"/>
      <c r="AM376" s="181"/>
      <c r="AN376" s="181"/>
      <c r="AO376" s="181"/>
      <c r="AP376" s="181"/>
      <c r="AQ376" s="181"/>
      <c r="AR376" s="181"/>
      <c r="AS376" s="181"/>
      <c r="AT376" s="181"/>
      <c r="AU376" s="181"/>
      <c r="AV376" s="181"/>
      <c r="AW376" s="181"/>
    </row>
    <row r="377" spans="1:49" ht="13.5" customHeight="1" x14ac:dyDescent="0.3">
      <c r="A377" s="1"/>
      <c r="B377" s="181"/>
      <c r="C377" s="181"/>
      <c r="D377" s="181"/>
      <c r="E377" s="182"/>
      <c r="F377" s="182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81"/>
      <c r="AJ377" s="181"/>
      <c r="AK377" s="181"/>
      <c r="AL377" s="181"/>
      <c r="AM377" s="181"/>
      <c r="AN377" s="181"/>
      <c r="AO377" s="181"/>
      <c r="AP377" s="181"/>
      <c r="AQ377" s="181"/>
      <c r="AR377" s="181"/>
      <c r="AS377" s="181"/>
      <c r="AT377" s="181"/>
      <c r="AU377" s="181"/>
      <c r="AV377" s="181"/>
      <c r="AW377" s="181"/>
    </row>
    <row r="378" spans="1:49" ht="13.5" customHeight="1" x14ac:dyDescent="0.3">
      <c r="A378" s="1"/>
      <c r="B378" s="181"/>
      <c r="C378" s="181"/>
      <c r="D378" s="181"/>
      <c r="E378" s="182"/>
      <c r="F378" s="182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81"/>
      <c r="AJ378" s="181"/>
      <c r="AK378" s="181"/>
      <c r="AL378" s="181"/>
      <c r="AM378" s="181"/>
      <c r="AN378" s="181"/>
      <c r="AO378" s="181"/>
      <c r="AP378" s="181"/>
      <c r="AQ378" s="181"/>
      <c r="AR378" s="181"/>
      <c r="AS378" s="181"/>
      <c r="AT378" s="181"/>
      <c r="AU378" s="181"/>
      <c r="AV378" s="181"/>
      <c r="AW378" s="181"/>
    </row>
    <row r="379" spans="1:49" ht="13.5" customHeight="1" x14ac:dyDescent="0.3">
      <c r="A379" s="1"/>
      <c r="B379" s="181"/>
      <c r="C379" s="181"/>
      <c r="D379" s="181"/>
      <c r="E379" s="182"/>
      <c r="F379" s="182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81"/>
      <c r="AJ379" s="181"/>
      <c r="AK379" s="181"/>
      <c r="AL379" s="181"/>
      <c r="AM379" s="181"/>
      <c r="AN379" s="181"/>
      <c r="AO379" s="181"/>
      <c r="AP379" s="181"/>
      <c r="AQ379" s="181"/>
      <c r="AR379" s="181"/>
      <c r="AS379" s="181"/>
      <c r="AT379" s="181"/>
      <c r="AU379" s="181"/>
      <c r="AV379" s="181"/>
      <c r="AW379" s="181"/>
    </row>
    <row r="380" spans="1:49" ht="13.5" customHeight="1" x14ac:dyDescent="0.3">
      <c r="A380" s="1"/>
      <c r="B380" s="181"/>
      <c r="C380" s="181"/>
      <c r="D380" s="181"/>
      <c r="E380" s="182"/>
      <c r="F380" s="182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81"/>
      <c r="AJ380" s="181"/>
      <c r="AK380" s="181"/>
      <c r="AL380" s="181"/>
      <c r="AM380" s="181"/>
      <c r="AN380" s="181"/>
      <c r="AO380" s="181"/>
      <c r="AP380" s="181"/>
      <c r="AQ380" s="181"/>
      <c r="AR380" s="181"/>
      <c r="AS380" s="181"/>
      <c r="AT380" s="181"/>
      <c r="AU380" s="181"/>
      <c r="AV380" s="181"/>
      <c r="AW380" s="181"/>
    </row>
    <row r="381" spans="1:49" ht="13.5" customHeight="1" x14ac:dyDescent="0.3">
      <c r="A381" s="1"/>
      <c r="B381" s="181"/>
      <c r="C381" s="181"/>
      <c r="D381" s="181"/>
      <c r="E381" s="182"/>
      <c r="F381" s="182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81"/>
      <c r="AJ381" s="181"/>
      <c r="AK381" s="181"/>
      <c r="AL381" s="181"/>
      <c r="AM381" s="181"/>
      <c r="AN381" s="181"/>
      <c r="AO381" s="181"/>
      <c r="AP381" s="181"/>
      <c r="AQ381" s="181"/>
      <c r="AR381" s="181"/>
      <c r="AS381" s="181"/>
      <c r="AT381" s="181"/>
      <c r="AU381" s="181"/>
      <c r="AV381" s="181"/>
      <c r="AW381" s="181"/>
    </row>
    <row r="382" spans="1:49" ht="13.5" customHeight="1" x14ac:dyDescent="0.3">
      <c r="A382" s="1"/>
      <c r="B382" s="181"/>
      <c r="C382" s="181"/>
      <c r="D382" s="181"/>
      <c r="E382" s="182"/>
      <c r="F382" s="182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81"/>
      <c r="AJ382" s="181"/>
      <c r="AK382" s="181"/>
      <c r="AL382" s="181"/>
      <c r="AM382" s="181"/>
      <c r="AN382" s="181"/>
      <c r="AO382" s="181"/>
      <c r="AP382" s="181"/>
      <c r="AQ382" s="181"/>
      <c r="AR382" s="181"/>
      <c r="AS382" s="181"/>
      <c r="AT382" s="181"/>
      <c r="AU382" s="181"/>
      <c r="AV382" s="181"/>
      <c r="AW382" s="181"/>
    </row>
    <row r="383" spans="1:49" ht="13.5" customHeight="1" x14ac:dyDescent="0.3">
      <c r="A383" s="1"/>
      <c r="B383" s="181"/>
      <c r="C383" s="181"/>
      <c r="D383" s="181"/>
      <c r="E383" s="182"/>
      <c r="F383" s="182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81"/>
      <c r="AJ383" s="181"/>
      <c r="AK383" s="181"/>
      <c r="AL383" s="181"/>
      <c r="AM383" s="181"/>
      <c r="AN383" s="181"/>
      <c r="AO383" s="181"/>
      <c r="AP383" s="181"/>
      <c r="AQ383" s="181"/>
      <c r="AR383" s="181"/>
      <c r="AS383" s="181"/>
      <c r="AT383" s="181"/>
      <c r="AU383" s="181"/>
      <c r="AV383" s="181"/>
      <c r="AW383" s="181"/>
    </row>
    <row r="384" spans="1:49" ht="13.5" customHeight="1" x14ac:dyDescent="0.3">
      <c r="A384" s="1"/>
      <c r="B384" s="181"/>
      <c r="C384" s="181"/>
      <c r="D384" s="181"/>
      <c r="E384" s="182"/>
      <c r="F384" s="182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81"/>
      <c r="AJ384" s="181"/>
      <c r="AK384" s="181"/>
      <c r="AL384" s="181"/>
      <c r="AM384" s="181"/>
      <c r="AN384" s="181"/>
      <c r="AO384" s="181"/>
      <c r="AP384" s="181"/>
      <c r="AQ384" s="181"/>
      <c r="AR384" s="181"/>
      <c r="AS384" s="181"/>
      <c r="AT384" s="181"/>
      <c r="AU384" s="181"/>
      <c r="AV384" s="181"/>
      <c r="AW384" s="181"/>
    </row>
    <row r="385" spans="1:49" ht="13.5" customHeight="1" x14ac:dyDescent="0.3">
      <c r="A385" s="1"/>
      <c r="B385" s="181"/>
      <c r="C385" s="181"/>
      <c r="D385" s="181"/>
      <c r="E385" s="182"/>
      <c r="F385" s="182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81"/>
      <c r="AJ385" s="181"/>
      <c r="AK385" s="181"/>
      <c r="AL385" s="181"/>
      <c r="AM385" s="181"/>
      <c r="AN385" s="181"/>
      <c r="AO385" s="181"/>
      <c r="AP385" s="181"/>
      <c r="AQ385" s="181"/>
      <c r="AR385" s="181"/>
      <c r="AS385" s="181"/>
      <c r="AT385" s="181"/>
      <c r="AU385" s="181"/>
      <c r="AV385" s="181"/>
      <c r="AW385" s="181"/>
    </row>
    <row r="386" spans="1:49" ht="13.5" customHeight="1" x14ac:dyDescent="0.3">
      <c r="A386" s="1"/>
      <c r="B386" s="181"/>
      <c r="C386" s="181"/>
      <c r="D386" s="181"/>
      <c r="E386" s="182"/>
      <c r="F386" s="182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81"/>
      <c r="AJ386" s="181"/>
      <c r="AK386" s="181"/>
      <c r="AL386" s="181"/>
      <c r="AM386" s="181"/>
      <c r="AN386" s="181"/>
      <c r="AO386" s="181"/>
      <c r="AP386" s="181"/>
      <c r="AQ386" s="181"/>
      <c r="AR386" s="181"/>
      <c r="AS386" s="181"/>
      <c r="AT386" s="181"/>
      <c r="AU386" s="181"/>
      <c r="AV386" s="181"/>
      <c r="AW386" s="181"/>
    </row>
    <row r="387" spans="1:49" ht="13.5" customHeight="1" x14ac:dyDescent="0.3">
      <c r="A387" s="1"/>
      <c r="B387" s="181"/>
      <c r="C387" s="181"/>
      <c r="D387" s="181"/>
      <c r="E387" s="182"/>
      <c r="F387" s="182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81"/>
      <c r="AJ387" s="181"/>
      <c r="AK387" s="181"/>
      <c r="AL387" s="181"/>
      <c r="AM387" s="181"/>
      <c r="AN387" s="181"/>
      <c r="AO387" s="181"/>
      <c r="AP387" s="181"/>
      <c r="AQ387" s="181"/>
      <c r="AR387" s="181"/>
      <c r="AS387" s="181"/>
      <c r="AT387" s="181"/>
      <c r="AU387" s="181"/>
      <c r="AV387" s="181"/>
      <c r="AW387" s="181"/>
    </row>
    <row r="388" spans="1:49" ht="13.5" customHeight="1" x14ac:dyDescent="0.3">
      <c r="A388" s="1"/>
      <c r="B388" s="181"/>
      <c r="C388" s="181"/>
      <c r="D388" s="181"/>
      <c r="E388" s="182"/>
      <c r="F388" s="182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81"/>
      <c r="AI388" s="181"/>
      <c r="AJ388" s="181"/>
      <c r="AK388" s="181"/>
      <c r="AL388" s="181"/>
      <c r="AM388" s="181"/>
      <c r="AN388" s="181"/>
      <c r="AO388" s="181"/>
      <c r="AP388" s="181"/>
      <c r="AQ388" s="181"/>
      <c r="AR388" s="181"/>
      <c r="AS388" s="181"/>
      <c r="AT388" s="181"/>
      <c r="AU388" s="181"/>
      <c r="AV388" s="181"/>
      <c r="AW388" s="181"/>
    </row>
    <row r="389" spans="1:49" ht="13.5" customHeight="1" x14ac:dyDescent="0.3">
      <c r="A389" s="1"/>
      <c r="B389" s="181"/>
      <c r="C389" s="181"/>
      <c r="D389" s="181"/>
      <c r="E389" s="182"/>
      <c r="F389" s="182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  <c r="AC389" s="181"/>
      <c r="AD389" s="181"/>
      <c r="AE389" s="181"/>
      <c r="AF389" s="181"/>
      <c r="AG389" s="181"/>
      <c r="AH389" s="181"/>
      <c r="AI389" s="181"/>
      <c r="AJ389" s="181"/>
      <c r="AK389" s="181"/>
      <c r="AL389" s="181"/>
      <c r="AM389" s="181"/>
      <c r="AN389" s="181"/>
      <c r="AO389" s="181"/>
      <c r="AP389" s="181"/>
      <c r="AQ389" s="181"/>
      <c r="AR389" s="181"/>
      <c r="AS389" s="181"/>
      <c r="AT389" s="181"/>
      <c r="AU389" s="181"/>
      <c r="AV389" s="181"/>
      <c r="AW389" s="181"/>
    </row>
    <row r="390" spans="1:49" ht="13.5" customHeight="1" x14ac:dyDescent="0.3">
      <c r="A390" s="1"/>
      <c r="B390" s="181"/>
      <c r="C390" s="181"/>
      <c r="D390" s="181"/>
      <c r="E390" s="182"/>
      <c r="F390" s="182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  <c r="AC390" s="181"/>
      <c r="AD390" s="181"/>
      <c r="AE390" s="181"/>
      <c r="AF390" s="181"/>
      <c r="AG390" s="181"/>
      <c r="AH390" s="181"/>
      <c r="AI390" s="181"/>
      <c r="AJ390" s="181"/>
      <c r="AK390" s="181"/>
      <c r="AL390" s="181"/>
      <c r="AM390" s="181"/>
      <c r="AN390" s="181"/>
      <c r="AO390" s="181"/>
      <c r="AP390" s="181"/>
      <c r="AQ390" s="181"/>
      <c r="AR390" s="181"/>
      <c r="AS390" s="181"/>
      <c r="AT390" s="181"/>
      <c r="AU390" s="181"/>
      <c r="AV390" s="181"/>
      <c r="AW390" s="181"/>
    </row>
    <row r="391" spans="1:49" ht="13.5" customHeight="1" x14ac:dyDescent="0.3">
      <c r="A391" s="1"/>
      <c r="B391" s="181"/>
      <c r="C391" s="181"/>
      <c r="D391" s="181"/>
      <c r="E391" s="182"/>
      <c r="F391" s="182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  <c r="AC391" s="181"/>
      <c r="AD391" s="181"/>
      <c r="AE391" s="181"/>
      <c r="AF391" s="181"/>
      <c r="AG391" s="181"/>
      <c r="AH391" s="181"/>
      <c r="AI391" s="181"/>
      <c r="AJ391" s="181"/>
      <c r="AK391" s="181"/>
      <c r="AL391" s="181"/>
      <c r="AM391" s="181"/>
      <c r="AN391" s="181"/>
      <c r="AO391" s="181"/>
      <c r="AP391" s="181"/>
      <c r="AQ391" s="181"/>
      <c r="AR391" s="181"/>
      <c r="AS391" s="181"/>
      <c r="AT391" s="181"/>
      <c r="AU391" s="181"/>
      <c r="AV391" s="181"/>
      <c r="AW391" s="181"/>
    </row>
    <row r="392" spans="1:49" ht="13.5" customHeight="1" x14ac:dyDescent="0.3">
      <c r="A392" s="1"/>
      <c r="B392" s="181"/>
      <c r="C392" s="181"/>
      <c r="D392" s="181"/>
      <c r="E392" s="182"/>
      <c r="F392" s="182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  <c r="AC392" s="181"/>
      <c r="AD392" s="181"/>
      <c r="AE392" s="181"/>
      <c r="AF392" s="181"/>
      <c r="AG392" s="181"/>
      <c r="AH392" s="181"/>
      <c r="AI392" s="181"/>
      <c r="AJ392" s="181"/>
      <c r="AK392" s="181"/>
      <c r="AL392" s="181"/>
      <c r="AM392" s="181"/>
      <c r="AN392" s="181"/>
      <c r="AO392" s="181"/>
      <c r="AP392" s="181"/>
      <c r="AQ392" s="181"/>
      <c r="AR392" s="181"/>
      <c r="AS392" s="181"/>
      <c r="AT392" s="181"/>
      <c r="AU392" s="181"/>
      <c r="AV392" s="181"/>
      <c r="AW392" s="181"/>
    </row>
    <row r="393" spans="1:49" ht="13.5" customHeight="1" x14ac:dyDescent="0.3">
      <c r="A393" s="1"/>
      <c r="B393" s="181"/>
      <c r="C393" s="181"/>
      <c r="D393" s="181"/>
      <c r="E393" s="182"/>
      <c r="F393" s="182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  <c r="AC393" s="181"/>
      <c r="AD393" s="181"/>
      <c r="AE393" s="181"/>
      <c r="AF393" s="181"/>
      <c r="AG393" s="181"/>
      <c r="AH393" s="181"/>
      <c r="AI393" s="181"/>
      <c r="AJ393" s="181"/>
      <c r="AK393" s="181"/>
      <c r="AL393" s="181"/>
      <c r="AM393" s="181"/>
      <c r="AN393" s="181"/>
      <c r="AO393" s="181"/>
      <c r="AP393" s="181"/>
      <c r="AQ393" s="181"/>
      <c r="AR393" s="181"/>
      <c r="AS393" s="181"/>
      <c r="AT393" s="181"/>
      <c r="AU393" s="181"/>
      <c r="AV393" s="181"/>
      <c r="AW393" s="181"/>
    </row>
    <row r="394" spans="1:49" ht="13.5" customHeight="1" x14ac:dyDescent="0.3">
      <c r="A394" s="1"/>
      <c r="B394" s="181"/>
      <c r="C394" s="181"/>
      <c r="D394" s="181"/>
      <c r="E394" s="182"/>
      <c r="F394" s="182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  <c r="AC394" s="181"/>
      <c r="AD394" s="181"/>
      <c r="AE394" s="181"/>
      <c r="AF394" s="181"/>
      <c r="AG394" s="181"/>
      <c r="AH394" s="181"/>
      <c r="AI394" s="181"/>
      <c r="AJ394" s="181"/>
      <c r="AK394" s="181"/>
      <c r="AL394" s="181"/>
      <c r="AM394" s="181"/>
      <c r="AN394" s="181"/>
      <c r="AO394" s="181"/>
      <c r="AP394" s="181"/>
      <c r="AQ394" s="181"/>
      <c r="AR394" s="181"/>
      <c r="AS394" s="181"/>
      <c r="AT394" s="181"/>
      <c r="AU394" s="181"/>
      <c r="AV394" s="181"/>
      <c r="AW394" s="181"/>
    </row>
    <row r="395" spans="1:49" ht="13.5" customHeight="1" x14ac:dyDescent="0.3">
      <c r="A395" s="1"/>
      <c r="B395" s="181"/>
      <c r="C395" s="181"/>
      <c r="D395" s="181"/>
      <c r="E395" s="182"/>
      <c r="F395" s="182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  <c r="AC395" s="181"/>
      <c r="AD395" s="181"/>
      <c r="AE395" s="181"/>
      <c r="AF395" s="181"/>
      <c r="AG395" s="181"/>
      <c r="AH395" s="181"/>
      <c r="AI395" s="181"/>
      <c r="AJ395" s="181"/>
      <c r="AK395" s="181"/>
      <c r="AL395" s="181"/>
      <c r="AM395" s="181"/>
      <c r="AN395" s="181"/>
      <c r="AO395" s="181"/>
      <c r="AP395" s="181"/>
      <c r="AQ395" s="181"/>
      <c r="AR395" s="181"/>
      <c r="AS395" s="181"/>
      <c r="AT395" s="181"/>
      <c r="AU395" s="181"/>
      <c r="AV395" s="181"/>
      <c r="AW395" s="181"/>
    </row>
    <row r="396" spans="1:49" ht="13.5" customHeight="1" x14ac:dyDescent="0.3">
      <c r="A396" s="1"/>
      <c r="B396" s="181"/>
      <c r="C396" s="181"/>
      <c r="D396" s="181"/>
      <c r="E396" s="182"/>
      <c r="F396" s="182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81"/>
      <c r="AJ396" s="181"/>
      <c r="AK396" s="181"/>
      <c r="AL396" s="181"/>
      <c r="AM396" s="181"/>
      <c r="AN396" s="181"/>
      <c r="AO396" s="181"/>
      <c r="AP396" s="181"/>
      <c r="AQ396" s="181"/>
      <c r="AR396" s="181"/>
      <c r="AS396" s="181"/>
      <c r="AT396" s="181"/>
      <c r="AU396" s="181"/>
      <c r="AV396" s="181"/>
      <c r="AW396" s="181"/>
    </row>
    <row r="397" spans="1:49" ht="13.5" customHeight="1" x14ac:dyDescent="0.3">
      <c r="A397" s="1"/>
      <c r="B397" s="181"/>
      <c r="C397" s="181"/>
      <c r="D397" s="181"/>
      <c r="E397" s="182"/>
      <c r="F397" s="182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81"/>
      <c r="AJ397" s="181"/>
      <c r="AK397" s="181"/>
      <c r="AL397" s="181"/>
      <c r="AM397" s="181"/>
      <c r="AN397" s="181"/>
      <c r="AO397" s="181"/>
      <c r="AP397" s="181"/>
      <c r="AQ397" s="181"/>
      <c r="AR397" s="181"/>
      <c r="AS397" s="181"/>
      <c r="AT397" s="181"/>
      <c r="AU397" s="181"/>
      <c r="AV397" s="181"/>
      <c r="AW397" s="181"/>
    </row>
    <row r="398" spans="1:49" ht="13.5" customHeight="1" x14ac:dyDescent="0.3">
      <c r="A398" s="1"/>
      <c r="B398" s="181"/>
      <c r="C398" s="181"/>
      <c r="D398" s="181"/>
      <c r="E398" s="182"/>
      <c r="F398" s="182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81"/>
      <c r="AJ398" s="181"/>
      <c r="AK398" s="181"/>
      <c r="AL398" s="181"/>
      <c r="AM398" s="181"/>
      <c r="AN398" s="181"/>
      <c r="AO398" s="181"/>
      <c r="AP398" s="181"/>
      <c r="AQ398" s="181"/>
      <c r="AR398" s="181"/>
      <c r="AS398" s="181"/>
      <c r="AT398" s="181"/>
      <c r="AU398" s="181"/>
      <c r="AV398" s="181"/>
      <c r="AW398" s="181"/>
    </row>
    <row r="399" spans="1:49" ht="13.5" customHeight="1" x14ac:dyDescent="0.3">
      <c r="A399" s="1"/>
      <c r="B399" s="181"/>
      <c r="C399" s="181"/>
      <c r="D399" s="181"/>
      <c r="E399" s="182"/>
      <c r="F399" s="182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81"/>
      <c r="AJ399" s="181"/>
      <c r="AK399" s="181"/>
      <c r="AL399" s="181"/>
      <c r="AM399" s="181"/>
      <c r="AN399" s="181"/>
      <c r="AO399" s="181"/>
      <c r="AP399" s="181"/>
      <c r="AQ399" s="181"/>
      <c r="AR399" s="181"/>
      <c r="AS399" s="181"/>
      <c r="AT399" s="181"/>
      <c r="AU399" s="181"/>
      <c r="AV399" s="181"/>
      <c r="AW399" s="181"/>
    </row>
    <row r="400" spans="1:49" ht="13.5" customHeight="1" x14ac:dyDescent="0.3">
      <c r="A400" s="1"/>
      <c r="B400" s="181"/>
      <c r="C400" s="181"/>
      <c r="D400" s="181"/>
      <c r="E400" s="182"/>
      <c r="F400" s="182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81"/>
      <c r="AJ400" s="181"/>
      <c r="AK400" s="181"/>
      <c r="AL400" s="181"/>
      <c r="AM400" s="181"/>
      <c r="AN400" s="181"/>
      <c r="AO400" s="181"/>
      <c r="AP400" s="181"/>
      <c r="AQ400" s="181"/>
      <c r="AR400" s="181"/>
      <c r="AS400" s="181"/>
      <c r="AT400" s="181"/>
      <c r="AU400" s="181"/>
      <c r="AV400" s="181"/>
      <c r="AW400" s="181"/>
    </row>
    <row r="401" spans="1:49" ht="13.5" customHeight="1" x14ac:dyDescent="0.3">
      <c r="A401" s="1"/>
      <c r="B401" s="181"/>
      <c r="C401" s="181"/>
      <c r="D401" s="181"/>
      <c r="E401" s="182"/>
      <c r="F401" s="182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81"/>
      <c r="AJ401" s="181"/>
      <c r="AK401" s="181"/>
      <c r="AL401" s="181"/>
      <c r="AM401" s="181"/>
      <c r="AN401" s="181"/>
      <c r="AO401" s="181"/>
      <c r="AP401" s="181"/>
      <c r="AQ401" s="181"/>
      <c r="AR401" s="181"/>
      <c r="AS401" s="181"/>
      <c r="AT401" s="181"/>
      <c r="AU401" s="181"/>
      <c r="AV401" s="181"/>
      <c r="AW401" s="181"/>
    </row>
    <row r="402" spans="1:49" ht="13.5" customHeight="1" x14ac:dyDescent="0.3">
      <c r="A402" s="1"/>
      <c r="B402" s="181"/>
      <c r="C402" s="181"/>
      <c r="D402" s="181"/>
      <c r="E402" s="182"/>
      <c r="F402" s="182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81"/>
      <c r="AJ402" s="181"/>
      <c r="AK402" s="181"/>
      <c r="AL402" s="181"/>
      <c r="AM402" s="181"/>
      <c r="AN402" s="181"/>
      <c r="AO402" s="181"/>
      <c r="AP402" s="181"/>
      <c r="AQ402" s="181"/>
      <c r="AR402" s="181"/>
      <c r="AS402" s="181"/>
      <c r="AT402" s="181"/>
      <c r="AU402" s="181"/>
      <c r="AV402" s="181"/>
      <c r="AW402" s="181"/>
    </row>
    <row r="403" spans="1:49" ht="13.5" customHeight="1" x14ac:dyDescent="0.3">
      <c r="A403" s="1"/>
      <c r="B403" s="181"/>
      <c r="C403" s="181"/>
      <c r="D403" s="181"/>
      <c r="E403" s="182"/>
      <c r="F403" s="182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81"/>
      <c r="AJ403" s="181"/>
      <c r="AK403" s="181"/>
      <c r="AL403" s="181"/>
      <c r="AM403" s="181"/>
      <c r="AN403" s="181"/>
      <c r="AO403" s="181"/>
      <c r="AP403" s="181"/>
      <c r="AQ403" s="181"/>
      <c r="AR403" s="181"/>
      <c r="AS403" s="181"/>
      <c r="AT403" s="181"/>
      <c r="AU403" s="181"/>
      <c r="AV403" s="181"/>
      <c r="AW403" s="181"/>
    </row>
    <row r="404" spans="1:49" ht="13.5" customHeight="1" x14ac:dyDescent="0.3">
      <c r="A404" s="1"/>
      <c r="B404" s="181"/>
      <c r="C404" s="181"/>
      <c r="D404" s="181"/>
      <c r="E404" s="182"/>
      <c r="F404" s="182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81"/>
      <c r="AJ404" s="181"/>
      <c r="AK404" s="181"/>
      <c r="AL404" s="181"/>
      <c r="AM404" s="181"/>
      <c r="AN404" s="181"/>
      <c r="AO404" s="181"/>
      <c r="AP404" s="181"/>
      <c r="AQ404" s="181"/>
      <c r="AR404" s="181"/>
      <c r="AS404" s="181"/>
      <c r="AT404" s="181"/>
      <c r="AU404" s="181"/>
      <c r="AV404" s="181"/>
      <c r="AW404" s="181"/>
    </row>
    <row r="405" spans="1:49" ht="13.5" customHeight="1" x14ac:dyDescent="0.3">
      <c r="A405" s="1"/>
      <c r="B405" s="181"/>
      <c r="C405" s="181"/>
      <c r="D405" s="181"/>
      <c r="E405" s="182"/>
      <c r="F405" s="182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81"/>
      <c r="AJ405" s="181"/>
      <c r="AK405" s="181"/>
      <c r="AL405" s="181"/>
      <c r="AM405" s="181"/>
      <c r="AN405" s="181"/>
      <c r="AO405" s="181"/>
      <c r="AP405" s="181"/>
      <c r="AQ405" s="181"/>
      <c r="AR405" s="181"/>
      <c r="AS405" s="181"/>
      <c r="AT405" s="181"/>
      <c r="AU405" s="181"/>
      <c r="AV405" s="181"/>
      <c r="AW405" s="181"/>
    </row>
    <row r="406" spans="1:49" ht="13.5" customHeight="1" x14ac:dyDescent="0.3">
      <c r="A406" s="1"/>
      <c r="B406" s="181"/>
      <c r="C406" s="181"/>
      <c r="D406" s="181"/>
      <c r="E406" s="182"/>
      <c r="F406" s="182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81"/>
      <c r="AJ406" s="181"/>
      <c r="AK406" s="181"/>
      <c r="AL406" s="181"/>
      <c r="AM406" s="181"/>
      <c r="AN406" s="181"/>
      <c r="AO406" s="181"/>
      <c r="AP406" s="181"/>
      <c r="AQ406" s="181"/>
      <c r="AR406" s="181"/>
      <c r="AS406" s="181"/>
      <c r="AT406" s="181"/>
      <c r="AU406" s="181"/>
      <c r="AV406" s="181"/>
      <c r="AW406" s="181"/>
    </row>
    <row r="407" spans="1:49" ht="13.5" customHeight="1" x14ac:dyDescent="0.3">
      <c r="A407" s="1"/>
      <c r="B407" s="181"/>
      <c r="C407" s="181"/>
      <c r="D407" s="181"/>
      <c r="E407" s="182"/>
      <c r="F407" s="182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81"/>
      <c r="AJ407" s="181"/>
      <c r="AK407" s="181"/>
      <c r="AL407" s="181"/>
      <c r="AM407" s="181"/>
      <c r="AN407" s="181"/>
      <c r="AO407" s="181"/>
      <c r="AP407" s="181"/>
      <c r="AQ407" s="181"/>
      <c r="AR407" s="181"/>
      <c r="AS407" s="181"/>
      <c r="AT407" s="181"/>
      <c r="AU407" s="181"/>
      <c r="AV407" s="181"/>
      <c r="AW407" s="181"/>
    </row>
    <row r="408" spans="1:49" ht="13.5" customHeight="1" x14ac:dyDescent="0.3">
      <c r="A408" s="1"/>
      <c r="B408" s="181"/>
      <c r="C408" s="181"/>
      <c r="D408" s="181"/>
      <c r="E408" s="182"/>
      <c r="F408" s="182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81"/>
      <c r="AJ408" s="181"/>
      <c r="AK408" s="181"/>
      <c r="AL408" s="181"/>
      <c r="AM408" s="181"/>
      <c r="AN408" s="181"/>
      <c r="AO408" s="181"/>
      <c r="AP408" s="181"/>
      <c r="AQ408" s="181"/>
      <c r="AR408" s="181"/>
      <c r="AS408" s="181"/>
      <c r="AT408" s="181"/>
      <c r="AU408" s="181"/>
      <c r="AV408" s="181"/>
      <c r="AW408" s="181"/>
    </row>
    <row r="409" spans="1:49" ht="13.5" customHeight="1" x14ac:dyDescent="0.3">
      <c r="A409" s="1"/>
      <c r="B409" s="181"/>
      <c r="C409" s="181"/>
      <c r="D409" s="181"/>
      <c r="E409" s="182"/>
      <c r="F409" s="182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81"/>
      <c r="AJ409" s="181"/>
      <c r="AK409" s="181"/>
      <c r="AL409" s="181"/>
      <c r="AM409" s="181"/>
      <c r="AN409" s="181"/>
      <c r="AO409" s="181"/>
      <c r="AP409" s="181"/>
      <c r="AQ409" s="181"/>
      <c r="AR409" s="181"/>
      <c r="AS409" s="181"/>
      <c r="AT409" s="181"/>
      <c r="AU409" s="181"/>
      <c r="AV409" s="181"/>
      <c r="AW409" s="181"/>
    </row>
    <row r="410" spans="1:49" ht="13.5" customHeight="1" x14ac:dyDescent="0.3">
      <c r="A410" s="1"/>
      <c r="B410" s="181"/>
      <c r="C410" s="181"/>
      <c r="D410" s="181"/>
      <c r="E410" s="182"/>
      <c r="F410" s="182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81"/>
      <c r="AJ410" s="181"/>
      <c r="AK410" s="181"/>
      <c r="AL410" s="181"/>
      <c r="AM410" s="181"/>
      <c r="AN410" s="181"/>
      <c r="AO410" s="181"/>
      <c r="AP410" s="181"/>
      <c r="AQ410" s="181"/>
      <c r="AR410" s="181"/>
      <c r="AS410" s="181"/>
      <c r="AT410" s="181"/>
      <c r="AU410" s="181"/>
      <c r="AV410" s="181"/>
      <c r="AW410" s="181"/>
    </row>
    <row r="411" spans="1:49" ht="13.5" customHeight="1" x14ac:dyDescent="0.3">
      <c r="A411" s="1"/>
      <c r="B411" s="181"/>
      <c r="C411" s="181"/>
      <c r="D411" s="181"/>
      <c r="E411" s="182"/>
      <c r="F411" s="182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81"/>
      <c r="AI411" s="181"/>
      <c r="AJ411" s="181"/>
      <c r="AK411" s="181"/>
      <c r="AL411" s="181"/>
      <c r="AM411" s="181"/>
      <c r="AN411" s="181"/>
      <c r="AO411" s="181"/>
      <c r="AP411" s="181"/>
      <c r="AQ411" s="181"/>
      <c r="AR411" s="181"/>
      <c r="AS411" s="181"/>
      <c r="AT411" s="181"/>
      <c r="AU411" s="181"/>
      <c r="AV411" s="181"/>
      <c r="AW411" s="181"/>
    </row>
    <row r="412" spans="1:49" ht="13.5" customHeight="1" x14ac:dyDescent="0.3">
      <c r="A412" s="1"/>
      <c r="B412" s="181"/>
      <c r="C412" s="181"/>
      <c r="D412" s="181"/>
      <c r="E412" s="182"/>
      <c r="F412" s="182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  <c r="AC412" s="181"/>
      <c r="AD412" s="181"/>
      <c r="AE412" s="181"/>
      <c r="AF412" s="181"/>
      <c r="AG412" s="181"/>
      <c r="AH412" s="181"/>
      <c r="AI412" s="181"/>
      <c r="AJ412" s="181"/>
      <c r="AK412" s="181"/>
      <c r="AL412" s="181"/>
      <c r="AM412" s="181"/>
      <c r="AN412" s="181"/>
      <c r="AO412" s="181"/>
      <c r="AP412" s="181"/>
      <c r="AQ412" s="181"/>
      <c r="AR412" s="181"/>
      <c r="AS412" s="181"/>
      <c r="AT412" s="181"/>
      <c r="AU412" s="181"/>
      <c r="AV412" s="181"/>
      <c r="AW412" s="181"/>
    </row>
    <row r="413" spans="1:49" ht="13.5" customHeight="1" x14ac:dyDescent="0.3">
      <c r="A413" s="1"/>
      <c r="B413" s="181"/>
      <c r="C413" s="181"/>
      <c r="D413" s="181"/>
      <c r="E413" s="182"/>
      <c r="F413" s="182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  <c r="AC413" s="181"/>
      <c r="AD413" s="181"/>
      <c r="AE413" s="181"/>
      <c r="AF413" s="181"/>
      <c r="AG413" s="181"/>
      <c r="AH413" s="181"/>
      <c r="AI413" s="181"/>
      <c r="AJ413" s="181"/>
      <c r="AK413" s="181"/>
      <c r="AL413" s="181"/>
      <c r="AM413" s="181"/>
      <c r="AN413" s="181"/>
      <c r="AO413" s="181"/>
      <c r="AP413" s="181"/>
      <c r="AQ413" s="181"/>
      <c r="AR413" s="181"/>
      <c r="AS413" s="181"/>
      <c r="AT413" s="181"/>
      <c r="AU413" s="181"/>
      <c r="AV413" s="181"/>
      <c r="AW413" s="181"/>
    </row>
    <row r="414" spans="1:49" ht="13.5" customHeight="1" x14ac:dyDescent="0.3">
      <c r="A414" s="1"/>
      <c r="B414" s="181"/>
      <c r="C414" s="181"/>
      <c r="D414" s="181"/>
      <c r="E414" s="182"/>
      <c r="F414" s="182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  <c r="AC414" s="181"/>
      <c r="AD414" s="181"/>
      <c r="AE414" s="181"/>
      <c r="AF414" s="181"/>
      <c r="AG414" s="181"/>
      <c r="AH414" s="181"/>
      <c r="AI414" s="181"/>
      <c r="AJ414" s="181"/>
      <c r="AK414" s="181"/>
      <c r="AL414" s="181"/>
      <c r="AM414" s="181"/>
      <c r="AN414" s="181"/>
      <c r="AO414" s="181"/>
      <c r="AP414" s="181"/>
      <c r="AQ414" s="181"/>
      <c r="AR414" s="181"/>
      <c r="AS414" s="181"/>
      <c r="AT414" s="181"/>
      <c r="AU414" s="181"/>
      <c r="AV414" s="181"/>
      <c r="AW414" s="181"/>
    </row>
    <row r="415" spans="1:49" ht="13.5" customHeight="1" x14ac:dyDescent="0.3">
      <c r="A415" s="1"/>
      <c r="B415" s="181"/>
      <c r="C415" s="181"/>
      <c r="D415" s="181"/>
      <c r="E415" s="182"/>
      <c r="F415" s="182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  <c r="AC415" s="181"/>
      <c r="AD415" s="181"/>
      <c r="AE415" s="181"/>
      <c r="AF415" s="181"/>
      <c r="AG415" s="181"/>
      <c r="AH415" s="181"/>
      <c r="AI415" s="181"/>
      <c r="AJ415" s="181"/>
      <c r="AK415" s="181"/>
      <c r="AL415" s="181"/>
      <c r="AM415" s="181"/>
      <c r="AN415" s="181"/>
      <c r="AO415" s="181"/>
      <c r="AP415" s="181"/>
      <c r="AQ415" s="181"/>
      <c r="AR415" s="181"/>
      <c r="AS415" s="181"/>
      <c r="AT415" s="181"/>
      <c r="AU415" s="181"/>
      <c r="AV415" s="181"/>
      <c r="AW415" s="181"/>
    </row>
    <row r="416" spans="1:49" ht="13.5" customHeight="1" x14ac:dyDescent="0.3">
      <c r="A416" s="1"/>
      <c r="B416" s="181"/>
      <c r="C416" s="181"/>
      <c r="D416" s="181"/>
      <c r="E416" s="182"/>
      <c r="F416" s="182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  <c r="AC416" s="181"/>
      <c r="AD416" s="181"/>
      <c r="AE416" s="181"/>
      <c r="AF416" s="181"/>
      <c r="AG416" s="181"/>
      <c r="AH416" s="181"/>
      <c r="AI416" s="181"/>
      <c r="AJ416" s="181"/>
      <c r="AK416" s="181"/>
      <c r="AL416" s="181"/>
      <c r="AM416" s="181"/>
      <c r="AN416" s="181"/>
      <c r="AO416" s="181"/>
      <c r="AP416" s="181"/>
      <c r="AQ416" s="181"/>
      <c r="AR416" s="181"/>
      <c r="AS416" s="181"/>
      <c r="AT416" s="181"/>
      <c r="AU416" s="181"/>
      <c r="AV416" s="181"/>
      <c r="AW416" s="181"/>
    </row>
    <row r="417" spans="1:49" ht="13.5" customHeight="1" x14ac:dyDescent="0.3">
      <c r="A417" s="1"/>
      <c r="B417" s="181"/>
      <c r="C417" s="181"/>
      <c r="D417" s="181"/>
      <c r="E417" s="182"/>
      <c r="F417" s="182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  <c r="AC417" s="181"/>
      <c r="AD417" s="181"/>
      <c r="AE417" s="181"/>
      <c r="AF417" s="181"/>
      <c r="AG417" s="181"/>
      <c r="AH417" s="181"/>
      <c r="AI417" s="181"/>
      <c r="AJ417" s="181"/>
      <c r="AK417" s="181"/>
      <c r="AL417" s="181"/>
      <c r="AM417" s="181"/>
      <c r="AN417" s="181"/>
      <c r="AO417" s="181"/>
      <c r="AP417" s="181"/>
      <c r="AQ417" s="181"/>
      <c r="AR417" s="181"/>
      <c r="AS417" s="181"/>
      <c r="AT417" s="181"/>
      <c r="AU417" s="181"/>
      <c r="AV417" s="181"/>
      <c r="AW417" s="181"/>
    </row>
    <row r="418" spans="1:49" ht="13.5" customHeight="1" x14ac:dyDescent="0.3">
      <c r="A418" s="1"/>
      <c r="B418" s="181"/>
      <c r="C418" s="181"/>
      <c r="D418" s="181"/>
      <c r="E418" s="182"/>
      <c r="F418" s="182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  <c r="AC418" s="181"/>
      <c r="AD418" s="181"/>
      <c r="AE418" s="181"/>
      <c r="AF418" s="181"/>
      <c r="AG418" s="181"/>
      <c r="AH418" s="181"/>
      <c r="AI418" s="181"/>
      <c r="AJ418" s="181"/>
      <c r="AK418" s="181"/>
      <c r="AL418" s="181"/>
      <c r="AM418" s="181"/>
      <c r="AN418" s="181"/>
      <c r="AO418" s="181"/>
      <c r="AP418" s="181"/>
      <c r="AQ418" s="181"/>
      <c r="AR418" s="181"/>
      <c r="AS418" s="181"/>
      <c r="AT418" s="181"/>
      <c r="AU418" s="181"/>
      <c r="AV418" s="181"/>
      <c r="AW418" s="181"/>
    </row>
    <row r="419" spans="1:49" ht="13.5" customHeight="1" x14ac:dyDescent="0.3">
      <c r="A419" s="1"/>
      <c r="B419" s="181"/>
      <c r="C419" s="181"/>
      <c r="D419" s="181"/>
      <c r="E419" s="182"/>
      <c r="F419" s="182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  <c r="AC419" s="181"/>
      <c r="AD419" s="181"/>
      <c r="AE419" s="181"/>
      <c r="AF419" s="181"/>
      <c r="AG419" s="181"/>
      <c r="AH419" s="181"/>
      <c r="AI419" s="181"/>
      <c r="AJ419" s="181"/>
      <c r="AK419" s="181"/>
      <c r="AL419" s="181"/>
      <c r="AM419" s="181"/>
      <c r="AN419" s="181"/>
      <c r="AO419" s="181"/>
      <c r="AP419" s="181"/>
      <c r="AQ419" s="181"/>
      <c r="AR419" s="181"/>
      <c r="AS419" s="181"/>
      <c r="AT419" s="181"/>
      <c r="AU419" s="181"/>
      <c r="AV419" s="181"/>
      <c r="AW419" s="181"/>
    </row>
    <row r="420" spans="1:49" ht="13.5" customHeight="1" x14ac:dyDescent="0.3">
      <c r="A420" s="1"/>
      <c r="B420" s="181"/>
      <c r="C420" s="181"/>
      <c r="D420" s="181"/>
      <c r="E420" s="182"/>
      <c r="F420" s="182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  <c r="AC420" s="181"/>
      <c r="AD420" s="181"/>
      <c r="AE420" s="181"/>
      <c r="AF420" s="181"/>
      <c r="AG420" s="181"/>
      <c r="AH420" s="181"/>
      <c r="AI420" s="181"/>
      <c r="AJ420" s="181"/>
      <c r="AK420" s="181"/>
      <c r="AL420" s="181"/>
      <c r="AM420" s="181"/>
      <c r="AN420" s="181"/>
      <c r="AO420" s="181"/>
      <c r="AP420" s="181"/>
      <c r="AQ420" s="181"/>
      <c r="AR420" s="181"/>
      <c r="AS420" s="181"/>
      <c r="AT420" s="181"/>
      <c r="AU420" s="181"/>
      <c r="AV420" s="181"/>
      <c r="AW420" s="181"/>
    </row>
    <row r="421" spans="1:49" ht="13.5" customHeight="1" x14ac:dyDescent="0.3">
      <c r="A421" s="1"/>
      <c r="B421" s="181"/>
      <c r="C421" s="181"/>
      <c r="D421" s="181"/>
      <c r="E421" s="182"/>
      <c r="F421" s="182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  <c r="AC421" s="181"/>
      <c r="AD421" s="181"/>
      <c r="AE421" s="181"/>
      <c r="AF421" s="181"/>
      <c r="AG421" s="181"/>
      <c r="AH421" s="181"/>
      <c r="AI421" s="181"/>
      <c r="AJ421" s="181"/>
      <c r="AK421" s="181"/>
      <c r="AL421" s="181"/>
      <c r="AM421" s="181"/>
      <c r="AN421" s="181"/>
      <c r="AO421" s="181"/>
      <c r="AP421" s="181"/>
      <c r="AQ421" s="181"/>
      <c r="AR421" s="181"/>
      <c r="AS421" s="181"/>
      <c r="AT421" s="181"/>
      <c r="AU421" s="181"/>
      <c r="AV421" s="181"/>
      <c r="AW421" s="181"/>
    </row>
    <row r="422" spans="1:49" ht="13.5" customHeight="1" x14ac:dyDescent="0.3">
      <c r="A422" s="1"/>
      <c r="B422" s="181"/>
      <c r="C422" s="181"/>
      <c r="D422" s="181"/>
      <c r="E422" s="182"/>
      <c r="F422" s="182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  <c r="AC422" s="181"/>
      <c r="AD422" s="181"/>
      <c r="AE422" s="181"/>
      <c r="AF422" s="181"/>
      <c r="AG422" s="181"/>
      <c r="AH422" s="181"/>
      <c r="AI422" s="181"/>
      <c r="AJ422" s="181"/>
      <c r="AK422" s="181"/>
      <c r="AL422" s="181"/>
      <c r="AM422" s="181"/>
      <c r="AN422" s="181"/>
      <c r="AO422" s="181"/>
      <c r="AP422" s="181"/>
      <c r="AQ422" s="181"/>
      <c r="AR422" s="181"/>
      <c r="AS422" s="181"/>
      <c r="AT422" s="181"/>
      <c r="AU422" s="181"/>
      <c r="AV422" s="181"/>
      <c r="AW422" s="181"/>
    </row>
    <row r="423" spans="1:49" ht="13.5" customHeight="1" x14ac:dyDescent="0.3">
      <c r="A423" s="1"/>
      <c r="B423" s="181"/>
      <c r="C423" s="181"/>
      <c r="D423" s="181"/>
      <c r="E423" s="182"/>
      <c r="F423" s="182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  <c r="AC423" s="181"/>
      <c r="AD423" s="181"/>
      <c r="AE423" s="181"/>
      <c r="AF423" s="181"/>
      <c r="AG423" s="181"/>
      <c r="AH423" s="181"/>
      <c r="AI423" s="181"/>
      <c r="AJ423" s="181"/>
      <c r="AK423" s="181"/>
      <c r="AL423" s="181"/>
      <c r="AM423" s="181"/>
      <c r="AN423" s="181"/>
      <c r="AO423" s="181"/>
      <c r="AP423" s="181"/>
      <c r="AQ423" s="181"/>
      <c r="AR423" s="181"/>
      <c r="AS423" s="181"/>
      <c r="AT423" s="181"/>
      <c r="AU423" s="181"/>
      <c r="AV423" s="181"/>
      <c r="AW423" s="181"/>
    </row>
    <row r="424" spans="1:49" ht="13.5" customHeight="1" x14ac:dyDescent="0.3">
      <c r="A424" s="1"/>
      <c r="B424" s="181"/>
      <c r="C424" s="181"/>
      <c r="D424" s="181"/>
      <c r="E424" s="182"/>
      <c r="F424" s="182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  <c r="AC424" s="181"/>
      <c r="AD424" s="181"/>
      <c r="AE424" s="181"/>
      <c r="AF424" s="181"/>
      <c r="AG424" s="181"/>
      <c r="AH424" s="181"/>
      <c r="AI424" s="181"/>
      <c r="AJ424" s="181"/>
      <c r="AK424" s="181"/>
      <c r="AL424" s="181"/>
      <c r="AM424" s="181"/>
      <c r="AN424" s="181"/>
      <c r="AO424" s="181"/>
      <c r="AP424" s="181"/>
      <c r="AQ424" s="181"/>
      <c r="AR424" s="181"/>
      <c r="AS424" s="181"/>
      <c r="AT424" s="181"/>
      <c r="AU424" s="181"/>
      <c r="AV424" s="181"/>
      <c r="AW424" s="181"/>
    </row>
    <row r="425" spans="1:49" ht="13.5" customHeight="1" x14ac:dyDescent="0.3">
      <c r="A425" s="1"/>
      <c r="B425" s="181"/>
      <c r="C425" s="181"/>
      <c r="D425" s="181"/>
      <c r="E425" s="182"/>
      <c r="F425" s="182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  <c r="AC425" s="181"/>
      <c r="AD425" s="181"/>
      <c r="AE425" s="181"/>
      <c r="AF425" s="181"/>
      <c r="AG425" s="181"/>
      <c r="AH425" s="181"/>
      <c r="AI425" s="181"/>
      <c r="AJ425" s="181"/>
      <c r="AK425" s="181"/>
      <c r="AL425" s="181"/>
      <c r="AM425" s="181"/>
      <c r="AN425" s="181"/>
      <c r="AO425" s="181"/>
      <c r="AP425" s="181"/>
      <c r="AQ425" s="181"/>
      <c r="AR425" s="181"/>
      <c r="AS425" s="181"/>
      <c r="AT425" s="181"/>
      <c r="AU425" s="181"/>
      <c r="AV425" s="181"/>
      <c r="AW425" s="181"/>
    </row>
    <row r="426" spans="1:49" ht="13.5" customHeight="1" x14ac:dyDescent="0.3">
      <c r="A426" s="1"/>
      <c r="B426" s="181"/>
      <c r="C426" s="181"/>
      <c r="D426" s="181"/>
      <c r="E426" s="182"/>
      <c r="F426" s="182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  <c r="AC426" s="181"/>
      <c r="AD426" s="181"/>
      <c r="AE426" s="181"/>
      <c r="AF426" s="181"/>
      <c r="AG426" s="181"/>
      <c r="AH426" s="181"/>
      <c r="AI426" s="181"/>
      <c r="AJ426" s="181"/>
      <c r="AK426" s="181"/>
      <c r="AL426" s="181"/>
      <c r="AM426" s="181"/>
      <c r="AN426" s="181"/>
      <c r="AO426" s="181"/>
      <c r="AP426" s="181"/>
      <c r="AQ426" s="181"/>
      <c r="AR426" s="181"/>
      <c r="AS426" s="181"/>
      <c r="AT426" s="181"/>
      <c r="AU426" s="181"/>
      <c r="AV426" s="181"/>
      <c r="AW426" s="181"/>
    </row>
    <row r="427" spans="1:49" ht="13.5" customHeight="1" x14ac:dyDescent="0.3">
      <c r="A427" s="1"/>
      <c r="B427" s="181"/>
      <c r="C427" s="181"/>
      <c r="D427" s="181"/>
      <c r="E427" s="182"/>
      <c r="F427" s="182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  <c r="AC427" s="181"/>
      <c r="AD427" s="181"/>
      <c r="AE427" s="181"/>
      <c r="AF427" s="181"/>
      <c r="AG427" s="181"/>
      <c r="AH427" s="181"/>
      <c r="AI427" s="181"/>
      <c r="AJ427" s="181"/>
      <c r="AK427" s="181"/>
      <c r="AL427" s="181"/>
      <c r="AM427" s="181"/>
      <c r="AN427" s="181"/>
      <c r="AO427" s="181"/>
      <c r="AP427" s="181"/>
      <c r="AQ427" s="181"/>
      <c r="AR427" s="181"/>
      <c r="AS427" s="181"/>
      <c r="AT427" s="181"/>
      <c r="AU427" s="181"/>
      <c r="AV427" s="181"/>
      <c r="AW427" s="181"/>
    </row>
    <row r="428" spans="1:49" ht="13.5" customHeight="1" x14ac:dyDescent="0.3">
      <c r="A428" s="1"/>
      <c r="B428" s="181"/>
      <c r="C428" s="181"/>
      <c r="D428" s="181"/>
      <c r="E428" s="182"/>
      <c r="F428" s="182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  <c r="AC428" s="181"/>
      <c r="AD428" s="181"/>
      <c r="AE428" s="181"/>
      <c r="AF428" s="181"/>
      <c r="AG428" s="181"/>
      <c r="AH428" s="181"/>
      <c r="AI428" s="181"/>
      <c r="AJ428" s="181"/>
      <c r="AK428" s="181"/>
      <c r="AL428" s="181"/>
      <c r="AM428" s="181"/>
      <c r="AN428" s="181"/>
      <c r="AO428" s="181"/>
      <c r="AP428" s="181"/>
      <c r="AQ428" s="181"/>
      <c r="AR428" s="181"/>
      <c r="AS428" s="181"/>
      <c r="AT428" s="181"/>
      <c r="AU428" s="181"/>
      <c r="AV428" s="181"/>
      <c r="AW428" s="181"/>
    </row>
    <row r="429" spans="1:49" ht="13.5" customHeight="1" x14ac:dyDescent="0.3">
      <c r="A429" s="1"/>
      <c r="B429" s="181"/>
      <c r="C429" s="181"/>
      <c r="D429" s="181"/>
      <c r="E429" s="182"/>
      <c r="F429" s="182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  <c r="AC429" s="181"/>
      <c r="AD429" s="181"/>
      <c r="AE429" s="181"/>
      <c r="AF429" s="181"/>
      <c r="AG429" s="181"/>
      <c r="AH429" s="181"/>
      <c r="AI429" s="181"/>
      <c r="AJ429" s="181"/>
      <c r="AK429" s="181"/>
      <c r="AL429" s="181"/>
      <c r="AM429" s="181"/>
      <c r="AN429" s="181"/>
      <c r="AO429" s="181"/>
      <c r="AP429" s="181"/>
      <c r="AQ429" s="181"/>
      <c r="AR429" s="181"/>
      <c r="AS429" s="181"/>
      <c r="AT429" s="181"/>
      <c r="AU429" s="181"/>
      <c r="AV429" s="181"/>
      <c r="AW429" s="181"/>
    </row>
    <row r="430" spans="1:49" ht="13.5" customHeight="1" x14ac:dyDescent="0.3">
      <c r="A430" s="1"/>
      <c r="B430" s="181"/>
      <c r="C430" s="181"/>
      <c r="D430" s="181"/>
      <c r="E430" s="182"/>
      <c r="F430" s="182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  <c r="AC430" s="181"/>
      <c r="AD430" s="181"/>
      <c r="AE430" s="181"/>
      <c r="AF430" s="181"/>
      <c r="AG430" s="181"/>
      <c r="AH430" s="181"/>
      <c r="AI430" s="181"/>
      <c r="AJ430" s="181"/>
      <c r="AK430" s="181"/>
      <c r="AL430" s="181"/>
      <c r="AM430" s="181"/>
      <c r="AN430" s="181"/>
      <c r="AO430" s="181"/>
      <c r="AP430" s="181"/>
      <c r="AQ430" s="181"/>
      <c r="AR430" s="181"/>
      <c r="AS430" s="181"/>
      <c r="AT430" s="181"/>
      <c r="AU430" s="181"/>
      <c r="AV430" s="181"/>
      <c r="AW430" s="181"/>
    </row>
    <row r="431" spans="1:49" ht="13.5" customHeight="1" x14ac:dyDescent="0.3">
      <c r="A431" s="1"/>
      <c r="B431" s="181"/>
      <c r="C431" s="181"/>
      <c r="D431" s="181"/>
      <c r="E431" s="182"/>
      <c r="F431" s="182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  <c r="AC431" s="181"/>
      <c r="AD431" s="181"/>
      <c r="AE431" s="181"/>
      <c r="AF431" s="181"/>
      <c r="AG431" s="181"/>
      <c r="AH431" s="181"/>
      <c r="AI431" s="181"/>
      <c r="AJ431" s="181"/>
      <c r="AK431" s="181"/>
      <c r="AL431" s="181"/>
      <c r="AM431" s="181"/>
      <c r="AN431" s="181"/>
      <c r="AO431" s="181"/>
      <c r="AP431" s="181"/>
      <c r="AQ431" s="181"/>
      <c r="AR431" s="181"/>
      <c r="AS431" s="181"/>
      <c r="AT431" s="181"/>
      <c r="AU431" s="181"/>
      <c r="AV431" s="181"/>
      <c r="AW431" s="181"/>
    </row>
    <row r="432" spans="1:49" ht="13.5" customHeight="1" x14ac:dyDescent="0.3">
      <c r="A432" s="1"/>
      <c r="B432" s="181"/>
      <c r="C432" s="181"/>
      <c r="D432" s="181"/>
      <c r="E432" s="182"/>
      <c r="F432" s="182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  <c r="AC432" s="181"/>
      <c r="AD432" s="181"/>
      <c r="AE432" s="181"/>
      <c r="AF432" s="181"/>
      <c r="AG432" s="181"/>
      <c r="AH432" s="181"/>
      <c r="AI432" s="181"/>
      <c r="AJ432" s="181"/>
      <c r="AK432" s="181"/>
      <c r="AL432" s="181"/>
      <c r="AM432" s="181"/>
      <c r="AN432" s="181"/>
      <c r="AO432" s="181"/>
      <c r="AP432" s="181"/>
      <c r="AQ432" s="181"/>
      <c r="AR432" s="181"/>
      <c r="AS432" s="181"/>
      <c r="AT432" s="181"/>
      <c r="AU432" s="181"/>
      <c r="AV432" s="181"/>
      <c r="AW432" s="181"/>
    </row>
    <row r="433" spans="1:49" ht="13.5" customHeight="1" x14ac:dyDescent="0.3">
      <c r="A433" s="1"/>
      <c r="B433" s="181"/>
      <c r="C433" s="181"/>
      <c r="D433" s="181"/>
      <c r="E433" s="182"/>
      <c r="F433" s="182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  <c r="AC433" s="181"/>
      <c r="AD433" s="181"/>
      <c r="AE433" s="181"/>
      <c r="AF433" s="181"/>
      <c r="AG433" s="181"/>
      <c r="AH433" s="181"/>
      <c r="AI433" s="181"/>
      <c r="AJ433" s="181"/>
      <c r="AK433" s="181"/>
      <c r="AL433" s="181"/>
      <c r="AM433" s="181"/>
      <c r="AN433" s="181"/>
      <c r="AO433" s="181"/>
      <c r="AP433" s="181"/>
      <c r="AQ433" s="181"/>
      <c r="AR433" s="181"/>
      <c r="AS433" s="181"/>
      <c r="AT433" s="181"/>
      <c r="AU433" s="181"/>
      <c r="AV433" s="181"/>
      <c r="AW433" s="181"/>
    </row>
    <row r="434" spans="1:49" ht="13.5" customHeight="1" x14ac:dyDescent="0.3">
      <c r="A434" s="1"/>
      <c r="B434" s="181"/>
      <c r="C434" s="181"/>
      <c r="D434" s="181"/>
      <c r="E434" s="182"/>
      <c r="F434" s="182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  <c r="AC434" s="181"/>
      <c r="AD434" s="181"/>
      <c r="AE434" s="181"/>
      <c r="AF434" s="181"/>
      <c r="AG434" s="181"/>
      <c r="AH434" s="181"/>
      <c r="AI434" s="181"/>
      <c r="AJ434" s="181"/>
      <c r="AK434" s="181"/>
      <c r="AL434" s="181"/>
      <c r="AM434" s="181"/>
      <c r="AN434" s="181"/>
      <c r="AO434" s="181"/>
      <c r="AP434" s="181"/>
      <c r="AQ434" s="181"/>
      <c r="AR434" s="181"/>
      <c r="AS434" s="181"/>
      <c r="AT434" s="181"/>
      <c r="AU434" s="181"/>
      <c r="AV434" s="181"/>
      <c r="AW434" s="181"/>
    </row>
    <row r="435" spans="1:49" ht="13.5" customHeight="1" x14ac:dyDescent="0.3">
      <c r="A435" s="1"/>
      <c r="B435" s="181"/>
      <c r="C435" s="181"/>
      <c r="D435" s="181"/>
      <c r="E435" s="182"/>
      <c r="F435" s="182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  <c r="AC435" s="181"/>
      <c r="AD435" s="181"/>
      <c r="AE435" s="181"/>
      <c r="AF435" s="181"/>
      <c r="AG435" s="181"/>
      <c r="AH435" s="181"/>
      <c r="AI435" s="181"/>
      <c r="AJ435" s="181"/>
      <c r="AK435" s="181"/>
      <c r="AL435" s="181"/>
      <c r="AM435" s="181"/>
      <c r="AN435" s="181"/>
      <c r="AO435" s="181"/>
      <c r="AP435" s="181"/>
      <c r="AQ435" s="181"/>
      <c r="AR435" s="181"/>
      <c r="AS435" s="181"/>
      <c r="AT435" s="181"/>
      <c r="AU435" s="181"/>
      <c r="AV435" s="181"/>
      <c r="AW435" s="181"/>
    </row>
    <row r="436" spans="1:49" ht="13.5" customHeight="1" x14ac:dyDescent="0.3">
      <c r="A436" s="1"/>
      <c r="B436" s="181"/>
      <c r="C436" s="181"/>
      <c r="D436" s="181"/>
      <c r="E436" s="182"/>
      <c r="F436" s="182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  <c r="AC436" s="181"/>
      <c r="AD436" s="181"/>
      <c r="AE436" s="181"/>
      <c r="AF436" s="181"/>
      <c r="AG436" s="181"/>
      <c r="AH436" s="181"/>
      <c r="AI436" s="181"/>
      <c r="AJ436" s="181"/>
      <c r="AK436" s="181"/>
      <c r="AL436" s="181"/>
      <c r="AM436" s="181"/>
      <c r="AN436" s="181"/>
      <c r="AO436" s="181"/>
      <c r="AP436" s="181"/>
      <c r="AQ436" s="181"/>
      <c r="AR436" s="181"/>
      <c r="AS436" s="181"/>
      <c r="AT436" s="181"/>
      <c r="AU436" s="181"/>
      <c r="AV436" s="181"/>
      <c r="AW436" s="181"/>
    </row>
    <row r="437" spans="1:49" ht="13.5" customHeight="1" x14ac:dyDescent="0.3">
      <c r="A437" s="1"/>
      <c r="B437" s="181"/>
      <c r="C437" s="181"/>
      <c r="D437" s="181"/>
      <c r="E437" s="182"/>
      <c r="F437" s="182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  <c r="AC437" s="181"/>
      <c r="AD437" s="181"/>
      <c r="AE437" s="181"/>
      <c r="AF437" s="181"/>
      <c r="AG437" s="181"/>
      <c r="AH437" s="181"/>
      <c r="AI437" s="181"/>
      <c r="AJ437" s="181"/>
      <c r="AK437" s="181"/>
      <c r="AL437" s="181"/>
      <c r="AM437" s="181"/>
      <c r="AN437" s="181"/>
      <c r="AO437" s="181"/>
      <c r="AP437" s="181"/>
      <c r="AQ437" s="181"/>
      <c r="AR437" s="181"/>
      <c r="AS437" s="181"/>
      <c r="AT437" s="181"/>
      <c r="AU437" s="181"/>
      <c r="AV437" s="181"/>
      <c r="AW437" s="181"/>
    </row>
    <row r="438" spans="1:49" ht="13.5" customHeight="1" x14ac:dyDescent="0.3">
      <c r="A438" s="1"/>
      <c r="B438" s="181"/>
      <c r="C438" s="181"/>
      <c r="D438" s="181"/>
      <c r="E438" s="182"/>
      <c r="F438" s="182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  <c r="AC438" s="181"/>
      <c r="AD438" s="181"/>
      <c r="AE438" s="181"/>
      <c r="AF438" s="181"/>
      <c r="AG438" s="181"/>
      <c r="AH438" s="181"/>
      <c r="AI438" s="181"/>
      <c r="AJ438" s="181"/>
      <c r="AK438" s="181"/>
      <c r="AL438" s="181"/>
      <c r="AM438" s="181"/>
      <c r="AN438" s="181"/>
      <c r="AO438" s="181"/>
      <c r="AP438" s="181"/>
      <c r="AQ438" s="181"/>
      <c r="AR438" s="181"/>
      <c r="AS438" s="181"/>
      <c r="AT438" s="181"/>
      <c r="AU438" s="181"/>
      <c r="AV438" s="181"/>
      <c r="AW438" s="181"/>
    </row>
    <row r="439" spans="1:49" ht="13.5" customHeight="1" x14ac:dyDescent="0.3">
      <c r="A439" s="1"/>
      <c r="B439" s="181"/>
      <c r="C439" s="181"/>
      <c r="D439" s="181"/>
      <c r="E439" s="182"/>
      <c r="F439" s="182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  <c r="AC439" s="181"/>
      <c r="AD439" s="181"/>
      <c r="AE439" s="181"/>
      <c r="AF439" s="181"/>
      <c r="AG439" s="181"/>
      <c r="AH439" s="181"/>
      <c r="AI439" s="181"/>
      <c r="AJ439" s="181"/>
      <c r="AK439" s="181"/>
      <c r="AL439" s="181"/>
      <c r="AM439" s="181"/>
      <c r="AN439" s="181"/>
      <c r="AO439" s="181"/>
      <c r="AP439" s="181"/>
      <c r="AQ439" s="181"/>
      <c r="AR439" s="181"/>
      <c r="AS439" s="181"/>
      <c r="AT439" s="181"/>
      <c r="AU439" s="181"/>
      <c r="AV439" s="181"/>
      <c r="AW439" s="181"/>
    </row>
    <row r="440" spans="1:49" ht="13.5" customHeight="1" x14ac:dyDescent="0.3">
      <c r="A440" s="1"/>
      <c r="B440" s="181"/>
      <c r="C440" s="181"/>
      <c r="D440" s="181"/>
      <c r="E440" s="182"/>
      <c r="F440" s="182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  <c r="AC440" s="181"/>
      <c r="AD440" s="181"/>
      <c r="AE440" s="181"/>
      <c r="AF440" s="181"/>
      <c r="AG440" s="181"/>
      <c r="AH440" s="181"/>
      <c r="AI440" s="181"/>
      <c r="AJ440" s="181"/>
      <c r="AK440" s="181"/>
      <c r="AL440" s="181"/>
      <c r="AM440" s="181"/>
      <c r="AN440" s="181"/>
      <c r="AO440" s="181"/>
      <c r="AP440" s="181"/>
      <c r="AQ440" s="181"/>
      <c r="AR440" s="181"/>
      <c r="AS440" s="181"/>
      <c r="AT440" s="181"/>
      <c r="AU440" s="181"/>
      <c r="AV440" s="181"/>
      <c r="AW440" s="181"/>
    </row>
    <row r="441" spans="1:49" ht="13.5" customHeight="1" x14ac:dyDescent="0.3">
      <c r="A441" s="1"/>
      <c r="B441" s="181"/>
      <c r="C441" s="181"/>
      <c r="D441" s="181"/>
      <c r="E441" s="182"/>
      <c r="F441" s="182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  <c r="AC441" s="181"/>
      <c r="AD441" s="181"/>
      <c r="AE441" s="181"/>
      <c r="AF441" s="181"/>
      <c r="AG441" s="181"/>
      <c r="AH441" s="181"/>
      <c r="AI441" s="181"/>
      <c r="AJ441" s="181"/>
      <c r="AK441" s="181"/>
      <c r="AL441" s="181"/>
      <c r="AM441" s="181"/>
      <c r="AN441" s="181"/>
      <c r="AO441" s="181"/>
      <c r="AP441" s="181"/>
      <c r="AQ441" s="181"/>
      <c r="AR441" s="181"/>
      <c r="AS441" s="181"/>
      <c r="AT441" s="181"/>
      <c r="AU441" s="181"/>
      <c r="AV441" s="181"/>
      <c r="AW441" s="181"/>
    </row>
    <row r="442" spans="1:49" ht="13.5" customHeight="1" x14ac:dyDescent="0.3">
      <c r="A442" s="1"/>
      <c r="B442" s="181"/>
      <c r="C442" s="181"/>
      <c r="D442" s="181"/>
      <c r="E442" s="182"/>
      <c r="F442" s="182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  <c r="AC442" s="181"/>
      <c r="AD442" s="181"/>
      <c r="AE442" s="181"/>
      <c r="AF442" s="181"/>
      <c r="AG442" s="181"/>
      <c r="AH442" s="181"/>
      <c r="AI442" s="181"/>
      <c r="AJ442" s="181"/>
      <c r="AK442" s="181"/>
      <c r="AL442" s="181"/>
      <c r="AM442" s="181"/>
      <c r="AN442" s="181"/>
      <c r="AO442" s="181"/>
      <c r="AP442" s="181"/>
      <c r="AQ442" s="181"/>
      <c r="AR442" s="181"/>
      <c r="AS442" s="181"/>
      <c r="AT442" s="181"/>
      <c r="AU442" s="181"/>
      <c r="AV442" s="181"/>
      <c r="AW442" s="181"/>
    </row>
    <row r="443" spans="1:49" ht="13.5" customHeight="1" x14ac:dyDescent="0.3">
      <c r="A443" s="1"/>
      <c r="B443" s="181"/>
      <c r="C443" s="181"/>
      <c r="D443" s="181"/>
      <c r="E443" s="182"/>
      <c r="F443" s="182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  <c r="AC443" s="181"/>
      <c r="AD443" s="181"/>
      <c r="AE443" s="181"/>
      <c r="AF443" s="181"/>
      <c r="AG443" s="181"/>
      <c r="AH443" s="181"/>
      <c r="AI443" s="181"/>
      <c r="AJ443" s="181"/>
      <c r="AK443" s="181"/>
      <c r="AL443" s="181"/>
      <c r="AM443" s="181"/>
      <c r="AN443" s="181"/>
      <c r="AO443" s="181"/>
      <c r="AP443" s="181"/>
      <c r="AQ443" s="181"/>
      <c r="AR443" s="181"/>
      <c r="AS443" s="181"/>
      <c r="AT443" s="181"/>
      <c r="AU443" s="181"/>
      <c r="AV443" s="181"/>
      <c r="AW443" s="181"/>
    </row>
    <row r="444" spans="1:49" ht="13.5" customHeight="1" x14ac:dyDescent="0.3">
      <c r="A444" s="1"/>
      <c r="B444" s="181"/>
      <c r="C444" s="181"/>
      <c r="D444" s="181"/>
      <c r="E444" s="182"/>
      <c r="F444" s="182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  <c r="AC444" s="181"/>
      <c r="AD444" s="181"/>
      <c r="AE444" s="181"/>
      <c r="AF444" s="181"/>
      <c r="AG444" s="181"/>
      <c r="AH444" s="181"/>
      <c r="AI444" s="181"/>
      <c r="AJ444" s="181"/>
      <c r="AK444" s="181"/>
      <c r="AL444" s="181"/>
      <c r="AM444" s="181"/>
      <c r="AN444" s="181"/>
      <c r="AO444" s="181"/>
      <c r="AP444" s="181"/>
      <c r="AQ444" s="181"/>
      <c r="AR444" s="181"/>
      <c r="AS444" s="181"/>
      <c r="AT444" s="181"/>
      <c r="AU444" s="181"/>
      <c r="AV444" s="181"/>
      <c r="AW444" s="181"/>
    </row>
    <row r="445" spans="1:49" ht="13.5" customHeight="1" x14ac:dyDescent="0.3">
      <c r="A445" s="1"/>
      <c r="B445" s="181"/>
      <c r="C445" s="181"/>
      <c r="D445" s="181"/>
      <c r="E445" s="182"/>
      <c r="F445" s="182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  <c r="AC445" s="181"/>
      <c r="AD445" s="181"/>
      <c r="AE445" s="181"/>
      <c r="AF445" s="181"/>
      <c r="AG445" s="181"/>
      <c r="AH445" s="181"/>
      <c r="AI445" s="181"/>
      <c r="AJ445" s="181"/>
      <c r="AK445" s="181"/>
      <c r="AL445" s="181"/>
      <c r="AM445" s="181"/>
      <c r="AN445" s="181"/>
      <c r="AO445" s="181"/>
      <c r="AP445" s="181"/>
      <c r="AQ445" s="181"/>
      <c r="AR445" s="181"/>
      <c r="AS445" s="181"/>
      <c r="AT445" s="181"/>
      <c r="AU445" s="181"/>
      <c r="AV445" s="181"/>
      <c r="AW445" s="181"/>
    </row>
    <row r="446" spans="1:49" ht="13.5" customHeight="1" x14ac:dyDescent="0.3">
      <c r="A446" s="1"/>
      <c r="B446" s="181"/>
      <c r="C446" s="181"/>
      <c r="D446" s="181"/>
      <c r="E446" s="182"/>
      <c r="F446" s="182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  <c r="AC446" s="181"/>
      <c r="AD446" s="181"/>
      <c r="AE446" s="181"/>
      <c r="AF446" s="181"/>
      <c r="AG446" s="181"/>
      <c r="AH446" s="181"/>
      <c r="AI446" s="181"/>
      <c r="AJ446" s="181"/>
      <c r="AK446" s="181"/>
      <c r="AL446" s="181"/>
      <c r="AM446" s="181"/>
      <c r="AN446" s="181"/>
      <c r="AO446" s="181"/>
      <c r="AP446" s="181"/>
      <c r="AQ446" s="181"/>
      <c r="AR446" s="181"/>
      <c r="AS446" s="181"/>
      <c r="AT446" s="181"/>
      <c r="AU446" s="181"/>
      <c r="AV446" s="181"/>
      <c r="AW446" s="181"/>
    </row>
    <row r="447" spans="1:49" ht="13.5" customHeight="1" x14ac:dyDescent="0.3">
      <c r="A447" s="1"/>
      <c r="B447" s="181"/>
      <c r="C447" s="181"/>
      <c r="D447" s="181"/>
      <c r="E447" s="182"/>
      <c r="F447" s="182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  <c r="AC447" s="181"/>
      <c r="AD447" s="181"/>
      <c r="AE447" s="181"/>
      <c r="AF447" s="181"/>
      <c r="AG447" s="181"/>
      <c r="AH447" s="181"/>
      <c r="AI447" s="181"/>
      <c r="AJ447" s="181"/>
      <c r="AK447" s="181"/>
      <c r="AL447" s="181"/>
      <c r="AM447" s="181"/>
      <c r="AN447" s="181"/>
      <c r="AO447" s="181"/>
      <c r="AP447" s="181"/>
      <c r="AQ447" s="181"/>
      <c r="AR447" s="181"/>
      <c r="AS447" s="181"/>
      <c r="AT447" s="181"/>
      <c r="AU447" s="181"/>
      <c r="AV447" s="181"/>
      <c r="AW447" s="181"/>
    </row>
    <row r="448" spans="1:49" ht="13.5" customHeight="1" x14ac:dyDescent="0.3">
      <c r="A448" s="1"/>
      <c r="B448" s="181"/>
      <c r="C448" s="181"/>
      <c r="D448" s="181"/>
      <c r="E448" s="182"/>
      <c r="F448" s="182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  <c r="AC448" s="181"/>
      <c r="AD448" s="181"/>
      <c r="AE448" s="181"/>
      <c r="AF448" s="181"/>
      <c r="AG448" s="181"/>
      <c r="AH448" s="181"/>
      <c r="AI448" s="181"/>
      <c r="AJ448" s="181"/>
      <c r="AK448" s="181"/>
      <c r="AL448" s="181"/>
      <c r="AM448" s="181"/>
      <c r="AN448" s="181"/>
      <c r="AO448" s="181"/>
      <c r="AP448" s="181"/>
      <c r="AQ448" s="181"/>
      <c r="AR448" s="181"/>
      <c r="AS448" s="181"/>
      <c r="AT448" s="181"/>
      <c r="AU448" s="181"/>
      <c r="AV448" s="181"/>
      <c r="AW448" s="181"/>
    </row>
    <row r="449" spans="1:49" ht="13.5" customHeight="1" x14ac:dyDescent="0.3">
      <c r="A449" s="1"/>
      <c r="B449" s="181"/>
      <c r="C449" s="181"/>
      <c r="D449" s="181"/>
      <c r="E449" s="182"/>
      <c r="F449" s="182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  <c r="AC449" s="181"/>
      <c r="AD449" s="181"/>
      <c r="AE449" s="181"/>
      <c r="AF449" s="181"/>
      <c r="AG449" s="181"/>
      <c r="AH449" s="181"/>
      <c r="AI449" s="181"/>
      <c r="AJ449" s="181"/>
      <c r="AK449" s="181"/>
      <c r="AL449" s="181"/>
      <c r="AM449" s="181"/>
      <c r="AN449" s="181"/>
      <c r="AO449" s="181"/>
      <c r="AP449" s="181"/>
      <c r="AQ449" s="181"/>
      <c r="AR449" s="181"/>
      <c r="AS449" s="181"/>
      <c r="AT449" s="181"/>
      <c r="AU449" s="181"/>
      <c r="AV449" s="181"/>
      <c r="AW449" s="181"/>
    </row>
    <row r="450" spans="1:49" ht="13.5" customHeight="1" x14ac:dyDescent="0.3">
      <c r="A450" s="1"/>
      <c r="B450" s="181"/>
      <c r="C450" s="181"/>
      <c r="D450" s="181"/>
      <c r="E450" s="182"/>
      <c r="F450" s="182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  <c r="AC450" s="181"/>
      <c r="AD450" s="181"/>
      <c r="AE450" s="181"/>
      <c r="AF450" s="181"/>
      <c r="AG450" s="181"/>
      <c r="AH450" s="181"/>
      <c r="AI450" s="181"/>
      <c r="AJ450" s="181"/>
      <c r="AK450" s="181"/>
      <c r="AL450" s="181"/>
      <c r="AM450" s="181"/>
      <c r="AN450" s="181"/>
      <c r="AO450" s="181"/>
      <c r="AP450" s="181"/>
      <c r="AQ450" s="181"/>
      <c r="AR450" s="181"/>
      <c r="AS450" s="181"/>
      <c r="AT450" s="181"/>
      <c r="AU450" s="181"/>
      <c r="AV450" s="181"/>
      <c r="AW450" s="181"/>
    </row>
    <row r="451" spans="1:49" ht="13.5" customHeight="1" x14ac:dyDescent="0.3">
      <c r="A451" s="1"/>
      <c r="B451" s="181"/>
      <c r="C451" s="181"/>
      <c r="D451" s="181"/>
      <c r="E451" s="182"/>
      <c r="F451" s="182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  <c r="AC451" s="181"/>
      <c r="AD451" s="181"/>
      <c r="AE451" s="181"/>
      <c r="AF451" s="181"/>
      <c r="AG451" s="181"/>
      <c r="AH451" s="181"/>
      <c r="AI451" s="181"/>
      <c r="AJ451" s="181"/>
      <c r="AK451" s="181"/>
      <c r="AL451" s="181"/>
      <c r="AM451" s="181"/>
      <c r="AN451" s="181"/>
      <c r="AO451" s="181"/>
      <c r="AP451" s="181"/>
      <c r="AQ451" s="181"/>
      <c r="AR451" s="181"/>
      <c r="AS451" s="181"/>
      <c r="AT451" s="181"/>
      <c r="AU451" s="181"/>
      <c r="AV451" s="181"/>
      <c r="AW451" s="181"/>
    </row>
    <row r="452" spans="1:49" ht="13.5" customHeight="1" x14ac:dyDescent="0.3">
      <c r="A452" s="1"/>
      <c r="B452" s="181"/>
      <c r="C452" s="181"/>
      <c r="D452" s="181"/>
      <c r="E452" s="182"/>
      <c r="F452" s="182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  <c r="AC452" s="181"/>
      <c r="AD452" s="181"/>
      <c r="AE452" s="181"/>
      <c r="AF452" s="181"/>
      <c r="AG452" s="181"/>
      <c r="AH452" s="181"/>
      <c r="AI452" s="181"/>
      <c r="AJ452" s="181"/>
      <c r="AK452" s="181"/>
      <c r="AL452" s="181"/>
      <c r="AM452" s="181"/>
      <c r="AN452" s="181"/>
      <c r="AO452" s="181"/>
      <c r="AP452" s="181"/>
      <c r="AQ452" s="181"/>
      <c r="AR452" s="181"/>
      <c r="AS452" s="181"/>
      <c r="AT452" s="181"/>
      <c r="AU452" s="181"/>
      <c r="AV452" s="181"/>
      <c r="AW452" s="181"/>
    </row>
    <row r="453" spans="1:49" ht="13.5" customHeight="1" x14ac:dyDescent="0.3">
      <c r="A453" s="1"/>
      <c r="B453" s="181"/>
      <c r="C453" s="181"/>
      <c r="D453" s="181"/>
      <c r="E453" s="182"/>
      <c r="F453" s="182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  <c r="AC453" s="181"/>
      <c r="AD453" s="181"/>
      <c r="AE453" s="181"/>
      <c r="AF453" s="181"/>
      <c r="AG453" s="181"/>
      <c r="AH453" s="181"/>
      <c r="AI453" s="181"/>
      <c r="AJ453" s="181"/>
      <c r="AK453" s="181"/>
      <c r="AL453" s="181"/>
      <c r="AM453" s="181"/>
      <c r="AN453" s="181"/>
      <c r="AO453" s="181"/>
      <c r="AP453" s="181"/>
      <c r="AQ453" s="181"/>
      <c r="AR453" s="181"/>
      <c r="AS453" s="181"/>
      <c r="AT453" s="181"/>
      <c r="AU453" s="181"/>
      <c r="AV453" s="181"/>
      <c r="AW453" s="181"/>
    </row>
    <row r="454" spans="1:49" ht="13.5" customHeight="1" x14ac:dyDescent="0.3">
      <c r="A454" s="1"/>
      <c r="B454" s="181"/>
      <c r="C454" s="181"/>
      <c r="D454" s="181"/>
      <c r="E454" s="182"/>
      <c r="F454" s="182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  <c r="AC454" s="181"/>
      <c r="AD454" s="181"/>
      <c r="AE454" s="181"/>
      <c r="AF454" s="181"/>
      <c r="AG454" s="181"/>
      <c r="AH454" s="181"/>
      <c r="AI454" s="181"/>
      <c r="AJ454" s="181"/>
      <c r="AK454" s="181"/>
      <c r="AL454" s="181"/>
      <c r="AM454" s="181"/>
      <c r="AN454" s="181"/>
      <c r="AO454" s="181"/>
      <c r="AP454" s="181"/>
      <c r="AQ454" s="181"/>
      <c r="AR454" s="181"/>
      <c r="AS454" s="181"/>
      <c r="AT454" s="181"/>
      <c r="AU454" s="181"/>
      <c r="AV454" s="181"/>
      <c r="AW454" s="181"/>
    </row>
    <row r="455" spans="1:49" ht="13.5" customHeight="1" x14ac:dyDescent="0.3">
      <c r="A455" s="1"/>
      <c r="B455" s="181"/>
      <c r="C455" s="181"/>
      <c r="D455" s="181"/>
      <c r="E455" s="182"/>
      <c r="F455" s="182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  <c r="AC455" s="181"/>
      <c r="AD455" s="181"/>
      <c r="AE455" s="181"/>
      <c r="AF455" s="181"/>
      <c r="AG455" s="181"/>
      <c r="AH455" s="181"/>
      <c r="AI455" s="181"/>
      <c r="AJ455" s="181"/>
      <c r="AK455" s="181"/>
      <c r="AL455" s="181"/>
      <c r="AM455" s="181"/>
      <c r="AN455" s="181"/>
      <c r="AO455" s="181"/>
      <c r="AP455" s="181"/>
      <c r="AQ455" s="181"/>
      <c r="AR455" s="181"/>
      <c r="AS455" s="181"/>
      <c r="AT455" s="181"/>
      <c r="AU455" s="181"/>
      <c r="AV455" s="181"/>
      <c r="AW455" s="181"/>
    </row>
    <row r="456" spans="1:49" ht="13.5" customHeight="1" x14ac:dyDescent="0.3">
      <c r="A456" s="1"/>
      <c r="B456" s="181"/>
      <c r="C456" s="181"/>
      <c r="D456" s="181"/>
      <c r="E456" s="182"/>
      <c r="F456" s="182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  <c r="AC456" s="181"/>
      <c r="AD456" s="181"/>
      <c r="AE456" s="181"/>
      <c r="AF456" s="181"/>
      <c r="AG456" s="181"/>
      <c r="AH456" s="181"/>
      <c r="AI456" s="181"/>
      <c r="AJ456" s="181"/>
      <c r="AK456" s="181"/>
      <c r="AL456" s="181"/>
      <c r="AM456" s="181"/>
      <c r="AN456" s="181"/>
      <c r="AO456" s="181"/>
      <c r="AP456" s="181"/>
      <c r="AQ456" s="181"/>
      <c r="AR456" s="181"/>
      <c r="AS456" s="181"/>
      <c r="AT456" s="181"/>
      <c r="AU456" s="181"/>
      <c r="AV456" s="181"/>
      <c r="AW456" s="181"/>
    </row>
    <row r="457" spans="1:49" ht="13.5" customHeight="1" x14ac:dyDescent="0.3">
      <c r="A457" s="1"/>
      <c r="B457" s="181"/>
      <c r="C457" s="181"/>
      <c r="D457" s="181"/>
      <c r="E457" s="182"/>
      <c r="F457" s="182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  <c r="AC457" s="181"/>
      <c r="AD457" s="181"/>
      <c r="AE457" s="181"/>
      <c r="AF457" s="181"/>
      <c r="AG457" s="181"/>
      <c r="AH457" s="181"/>
      <c r="AI457" s="181"/>
      <c r="AJ457" s="181"/>
      <c r="AK457" s="181"/>
      <c r="AL457" s="181"/>
      <c r="AM457" s="181"/>
      <c r="AN457" s="181"/>
      <c r="AO457" s="181"/>
      <c r="AP457" s="181"/>
      <c r="AQ457" s="181"/>
      <c r="AR457" s="181"/>
      <c r="AS457" s="181"/>
      <c r="AT457" s="181"/>
      <c r="AU457" s="181"/>
      <c r="AV457" s="181"/>
      <c r="AW457" s="181"/>
    </row>
    <row r="458" spans="1:49" ht="13.5" customHeight="1" x14ac:dyDescent="0.3">
      <c r="A458" s="1"/>
      <c r="B458" s="181"/>
      <c r="C458" s="181"/>
      <c r="D458" s="181"/>
      <c r="E458" s="182"/>
      <c r="F458" s="182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  <c r="AC458" s="181"/>
      <c r="AD458" s="181"/>
      <c r="AE458" s="181"/>
      <c r="AF458" s="181"/>
      <c r="AG458" s="181"/>
      <c r="AH458" s="181"/>
      <c r="AI458" s="181"/>
      <c r="AJ458" s="181"/>
      <c r="AK458" s="181"/>
      <c r="AL458" s="181"/>
      <c r="AM458" s="181"/>
      <c r="AN458" s="181"/>
      <c r="AO458" s="181"/>
      <c r="AP458" s="181"/>
      <c r="AQ458" s="181"/>
      <c r="AR458" s="181"/>
      <c r="AS458" s="181"/>
      <c r="AT458" s="181"/>
      <c r="AU458" s="181"/>
      <c r="AV458" s="181"/>
      <c r="AW458" s="181"/>
    </row>
    <row r="459" spans="1:49" ht="13.5" customHeight="1" x14ac:dyDescent="0.3">
      <c r="A459" s="1"/>
      <c r="B459" s="181"/>
      <c r="C459" s="181"/>
      <c r="D459" s="181"/>
      <c r="E459" s="182"/>
      <c r="F459" s="182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  <c r="AC459" s="181"/>
      <c r="AD459" s="181"/>
      <c r="AE459" s="181"/>
      <c r="AF459" s="181"/>
      <c r="AG459" s="181"/>
      <c r="AH459" s="181"/>
      <c r="AI459" s="181"/>
      <c r="AJ459" s="181"/>
      <c r="AK459" s="181"/>
      <c r="AL459" s="181"/>
      <c r="AM459" s="181"/>
      <c r="AN459" s="181"/>
      <c r="AO459" s="181"/>
      <c r="AP459" s="181"/>
      <c r="AQ459" s="181"/>
      <c r="AR459" s="181"/>
      <c r="AS459" s="181"/>
      <c r="AT459" s="181"/>
      <c r="AU459" s="181"/>
      <c r="AV459" s="181"/>
      <c r="AW459" s="181"/>
    </row>
    <row r="460" spans="1:49" ht="13.5" customHeight="1" x14ac:dyDescent="0.3">
      <c r="A460" s="1"/>
      <c r="B460" s="181"/>
      <c r="C460" s="181"/>
      <c r="D460" s="181"/>
      <c r="E460" s="182"/>
      <c r="F460" s="182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  <c r="AC460" s="181"/>
      <c r="AD460" s="181"/>
      <c r="AE460" s="181"/>
      <c r="AF460" s="181"/>
      <c r="AG460" s="181"/>
      <c r="AH460" s="181"/>
      <c r="AI460" s="181"/>
      <c r="AJ460" s="181"/>
      <c r="AK460" s="181"/>
      <c r="AL460" s="181"/>
      <c r="AM460" s="181"/>
      <c r="AN460" s="181"/>
      <c r="AO460" s="181"/>
      <c r="AP460" s="181"/>
      <c r="AQ460" s="181"/>
      <c r="AR460" s="181"/>
      <c r="AS460" s="181"/>
      <c r="AT460" s="181"/>
      <c r="AU460" s="181"/>
      <c r="AV460" s="181"/>
      <c r="AW460" s="181"/>
    </row>
    <row r="461" spans="1:49" ht="13.5" customHeight="1" x14ac:dyDescent="0.3">
      <c r="A461" s="1"/>
      <c r="B461" s="181"/>
      <c r="C461" s="181"/>
      <c r="D461" s="181"/>
      <c r="E461" s="182"/>
      <c r="F461" s="182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  <c r="AC461" s="181"/>
      <c r="AD461" s="181"/>
      <c r="AE461" s="181"/>
      <c r="AF461" s="181"/>
      <c r="AG461" s="181"/>
      <c r="AH461" s="181"/>
      <c r="AI461" s="181"/>
      <c r="AJ461" s="181"/>
      <c r="AK461" s="181"/>
      <c r="AL461" s="181"/>
      <c r="AM461" s="181"/>
      <c r="AN461" s="181"/>
      <c r="AO461" s="181"/>
      <c r="AP461" s="181"/>
      <c r="AQ461" s="181"/>
      <c r="AR461" s="181"/>
      <c r="AS461" s="181"/>
      <c r="AT461" s="181"/>
      <c r="AU461" s="181"/>
      <c r="AV461" s="181"/>
      <c r="AW461" s="181"/>
    </row>
    <row r="462" spans="1:49" ht="13.5" customHeight="1" x14ac:dyDescent="0.3">
      <c r="A462" s="1"/>
      <c r="B462" s="181"/>
      <c r="C462" s="181"/>
      <c r="D462" s="181"/>
      <c r="E462" s="182"/>
      <c r="F462" s="182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  <c r="AC462" s="181"/>
      <c r="AD462" s="181"/>
      <c r="AE462" s="181"/>
      <c r="AF462" s="181"/>
      <c r="AG462" s="181"/>
      <c r="AH462" s="181"/>
      <c r="AI462" s="181"/>
      <c r="AJ462" s="181"/>
      <c r="AK462" s="181"/>
      <c r="AL462" s="181"/>
      <c r="AM462" s="181"/>
      <c r="AN462" s="181"/>
      <c r="AO462" s="181"/>
      <c r="AP462" s="181"/>
      <c r="AQ462" s="181"/>
      <c r="AR462" s="181"/>
      <c r="AS462" s="181"/>
      <c r="AT462" s="181"/>
      <c r="AU462" s="181"/>
      <c r="AV462" s="181"/>
      <c r="AW462" s="181"/>
    </row>
    <row r="463" spans="1:49" ht="13.5" customHeight="1" x14ac:dyDescent="0.3">
      <c r="A463" s="1"/>
      <c r="B463" s="181"/>
      <c r="C463" s="181"/>
      <c r="D463" s="181"/>
      <c r="E463" s="182"/>
      <c r="F463" s="182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  <c r="AC463" s="181"/>
      <c r="AD463" s="181"/>
      <c r="AE463" s="181"/>
      <c r="AF463" s="181"/>
      <c r="AG463" s="181"/>
      <c r="AH463" s="181"/>
      <c r="AI463" s="181"/>
      <c r="AJ463" s="181"/>
      <c r="AK463" s="181"/>
      <c r="AL463" s="181"/>
      <c r="AM463" s="181"/>
      <c r="AN463" s="181"/>
      <c r="AO463" s="181"/>
      <c r="AP463" s="181"/>
      <c r="AQ463" s="181"/>
      <c r="AR463" s="181"/>
      <c r="AS463" s="181"/>
      <c r="AT463" s="181"/>
      <c r="AU463" s="181"/>
      <c r="AV463" s="181"/>
      <c r="AW463" s="181"/>
    </row>
    <row r="464" spans="1:49" ht="13.5" customHeight="1" x14ac:dyDescent="0.3">
      <c r="A464" s="1"/>
      <c r="B464" s="181"/>
      <c r="C464" s="181"/>
      <c r="D464" s="181"/>
      <c r="E464" s="182"/>
      <c r="F464" s="182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  <c r="AC464" s="181"/>
      <c r="AD464" s="181"/>
      <c r="AE464" s="181"/>
      <c r="AF464" s="181"/>
      <c r="AG464" s="181"/>
      <c r="AH464" s="181"/>
      <c r="AI464" s="181"/>
      <c r="AJ464" s="181"/>
      <c r="AK464" s="181"/>
      <c r="AL464" s="181"/>
      <c r="AM464" s="181"/>
      <c r="AN464" s="181"/>
      <c r="AO464" s="181"/>
      <c r="AP464" s="181"/>
      <c r="AQ464" s="181"/>
      <c r="AR464" s="181"/>
      <c r="AS464" s="181"/>
      <c r="AT464" s="181"/>
      <c r="AU464" s="181"/>
      <c r="AV464" s="181"/>
      <c r="AW464" s="181"/>
    </row>
    <row r="465" spans="1:49" ht="13.5" customHeight="1" x14ac:dyDescent="0.3">
      <c r="A465" s="1"/>
      <c r="B465" s="181"/>
      <c r="C465" s="181"/>
      <c r="D465" s="181"/>
      <c r="E465" s="182"/>
      <c r="F465" s="182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  <c r="AC465" s="181"/>
      <c r="AD465" s="181"/>
      <c r="AE465" s="181"/>
      <c r="AF465" s="181"/>
      <c r="AG465" s="181"/>
      <c r="AH465" s="181"/>
      <c r="AI465" s="181"/>
      <c r="AJ465" s="181"/>
      <c r="AK465" s="181"/>
      <c r="AL465" s="181"/>
      <c r="AM465" s="181"/>
      <c r="AN465" s="181"/>
      <c r="AO465" s="181"/>
      <c r="AP465" s="181"/>
      <c r="AQ465" s="181"/>
      <c r="AR465" s="181"/>
      <c r="AS465" s="181"/>
      <c r="AT465" s="181"/>
      <c r="AU465" s="181"/>
      <c r="AV465" s="181"/>
      <c r="AW465" s="181"/>
    </row>
    <row r="466" spans="1:49" ht="13.5" customHeight="1" x14ac:dyDescent="0.3">
      <c r="A466" s="1"/>
      <c r="B466" s="181"/>
      <c r="C466" s="181"/>
      <c r="D466" s="181"/>
      <c r="E466" s="182"/>
      <c r="F466" s="182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  <c r="AC466" s="181"/>
      <c r="AD466" s="181"/>
      <c r="AE466" s="181"/>
      <c r="AF466" s="181"/>
      <c r="AG466" s="181"/>
      <c r="AH466" s="181"/>
      <c r="AI466" s="181"/>
      <c r="AJ466" s="181"/>
      <c r="AK466" s="181"/>
      <c r="AL466" s="181"/>
      <c r="AM466" s="181"/>
      <c r="AN466" s="181"/>
      <c r="AO466" s="181"/>
      <c r="AP466" s="181"/>
      <c r="AQ466" s="181"/>
      <c r="AR466" s="181"/>
      <c r="AS466" s="181"/>
      <c r="AT466" s="181"/>
      <c r="AU466" s="181"/>
      <c r="AV466" s="181"/>
      <c r="AW466" s="181"/>
    </row>
    <row r="467" spans="1:49" ht="13.5" customHeight="1" x14ac:dyDescent="0.3">
      <c r="A467" s="1"/>
      <c r="B467" s="181"/>
      <c r="C467" s="181"/>
      <c r="D467" s="181"/>
      <c r="E467" s="182"/>
      <c r="F467" s="182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  <c r="AC467" s="181"/>
      <c r="AD467" s="181"/>
      <c r="AE467" s="181"/>
      <c r="AF467" s="181"/>
      <c r="AG467" s="181"/>
      <c r="AH467" s="181"/>
      <c r="AI467" s="181"/>
      <c r="AJ467" s="181"/>
      <c r="AK467" s="181"/>
      <c r="AL467" s="181"/>
      <c r="AM467" s="181"/>
      <c r="AN467" s="181"/>
      <c r="AO467" s="181"/>
      <c r="AP467" s="181"/>
      <c r="AQ467" s="181"/>
      <c r="AR467" s="181"/>
      <c r="AS467" s="181"/>
      <c r="AT467" s="181"/>
      <c r="AU467" s="181"/>
      <c r="AV467" s="181"/>
      <c r="AW467" s="181"/>
    </row>
    <row r="468" spans="1:49" ht="13.5" customHeight="1" x14ac:dyDescent="0.3">
      <c r="A468" s="1"/>
      <c r="B468" s="181"/>
      <c r="C468" s="181"/>
      <c r="D468" s="181"/>
      <c r="E468" s="182"/>
      <c r="F468" s="182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  <c r="AC468" s="181"/>
      <c r="AD468" s="181"/>
      <c r="AE468" s="181"/>
      <c r="AF468" s="181"/>
      <c r="AG468" s="181"/>
      <c r="AH468" s="181"/>
      <c r="AI468" s="181"/>
      <c r="AJ468" s="181"/>
      <c r="AK468" s="181"/>
      <c r="AL468" s="181"/>
      <c r="AM468" s="181"/>
      <c r="AN468" s="181"/>
      <c r="AO468" s="181"/>
      <c r="AP468" s="181"/>
      <c r="AQ468" s="181"/>
      <c r="AR468" s="181"/>
      <c r="AS468" s="181"/>
      <c r="AT468" s="181"/>
      <c r="AU468" s="181"/>
      <c r="AV468" s="181"/>
      <c r="AW468" s="181"/>
    </row>
    <row r="469" spans="1:49" ht="13.5" customHeight="1" x14ac:dyDescent="0.3">
      <c r="A469" s="1"/>
      <c r="B469" s="181"/>
      <c r="C469" s="181"/>
      <c r="D469" s="181"/>
      <c r="E469" s="182"/>
      <c r="F469" s="182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  <c r="AC469" s="181"/>
      <c r="AD469" s="181"/>
      <c r="AE469" s="181"/>
      <c r="AF469" s="181"/>
      <c r="AG469" s="181"/>
      <c r="AH469" s="181"/>
      <c r="AI469" s="181"/>
      <c r="AJ469" s="181"/>
      <c r="AK469" s="181"/>
      <c r="AL469" s="181"/>
      <c r="AM469" s="181"/>
      <c r="AN469" s="181"/>
      <c r="AO469" s="181"/>
      <c r="AP469" s="181"/>
      <c r="AQ469" s="181"/>
      <c r="AR469" s="181"/>
      <c r="AS469" s="181"/>
      <c r="AT469" s="181"/>
      <c r="AU469" s="181"/>
      <c r="AV469" s="181"/>
      <c r="AW469" s="181"/>
    </row>
    <row r="470" spans="1:49" ht="13.5" customHeight="1" x14ac:dyDescent="0.3">
      <c r="A470" s="1"/>
      <c r="B470" s="181"/>
      <c r="C470" s="181"/>
      <c r="D470" s="181"/>
      <c r="E470" s="182"/>
      <c r="F470" s="182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  <c r="AC470" s="181"/>
      <c r="AD470" s="181"/>
      <c r="AE470" s="181"/>
      <c r="AF470" s="181"/>
      <c r="AG470" s="181"/>
      <c r="AH470" s="181"/>
      <c r="AI470" s="181"/>
      <c r="AJ470" s="181"/>
      <c r="AK470" s="181"/>
      <c r="AL470" s="181"/>
      <c r="AM470" s="181"/>
      <c r="AN470" s="181"/>
      <c r="AO470" s="181"/>
      <c r="AP470" s="181"/>
      <c r="AQ470" s="181"/>
      <c r="AR470" s="181"/>
      <c r="AS470" s="181"/>
      <c r="AT470" s="181"/>
      <c r="AU470" s="181"/>
      <c r="AV470" s="181"/>
      <c r="AW470" s="181"/>
    </row>
    <row r="471" spans="1:49" ht="13.5" customHeight="1" x14ac:dyDescent="0.3">
      <c r="A471" s="1"/>
      <c r="B471" s="181"/>
      <c r="C471" s="181"/>
      <c r="D471" s="181"/>
      <c r="E471" s="182"/>
      <c r="F471" s="182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  <c r="AC471" s="181"/>
      <c r="AD471" s="181"/>
      <c r="AE471" s="181"/>
      <c r="AF471" s="181"/>
      <c r="AG471" s="181"/>
      <c r="AH471" s="181"/>
      <c r="AI471" s="181"/>
      <c r="AJ471" s="181"/>
      <c r="AK471" s="181"/>
      <c r="AL471" s="181"/>
      <c r="AM471" s="181"/>
      <c r="AN471" s="181"/>
      <c r="AO471" s="181"/>
      <c r="AP471" s="181"/>
      <c r="AQ471" s="181"/>
      <c r="AR471" s="181"/>
      <c r="AS471" s="181"/>
      <c r="AT471" s="181"/>
      <c r="AU471" s="181"/>
      <c r="AV471" s="181"/>
      <c r="AW471" s="181"/>
    </row>
    <row r="472" spans="1:49" ht="13.5" customHeight="1" x14ac:dyDescent="0.3">
      <c r="A472" s="1"/>
      <c r="B472" s="181"/>
      <c r="C472" s="181"/>
      <c r="D472" s="181"/>
      <c r="E472" s="182"/>
      <c r="F472" s="182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  <c r="AC472" s="181"/>
      <c r="AD472" s="181"/>
      <c r="AE472" s="181"/>
      <c r="AF472" s="181"/>
      <c r="AG472" s="181"/>
      <c r="AH472" s="181"/>
      <c r="AI472" s="181"/>
      <c r="AJ472" s="181"/>
      <c r="AK472" s="181"/>
      <c r="AL472" s="181"/>
      <c r="AM472" s="181"/>
      <c r="AN472" s="181"/>
      <c r="AO472" s="181"/>
      <c r="AP472" s="181"/>
      <c r="AQ472" s="181"/>
      <c r="AR472" s="181"/>
      <c r="AS472" s="181"/>
      <c r="AT472" s="181"/>
      <c r="AU472" s="181"/>
      <c r="AV472" s="181"/>
      <c r="AW472" s="181"/>
    </row>
    <row r="473" spans="1:49" ht="13.5" customHeight="1" x14ac:dyDescent="0.3">
      <c r="A473" s="1"/>
      <c r="B473" s="181"/>
      <c r="C473" s="181"/>
      <c r="D473" s="181"/>
      <c r="E473" s="182"/>
      <c r="F473" s="182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  <c r="AC473" s="181"/>
      <c r="AD473" s="181"/>
      <c r="AE473" s="181"/>
      <c r="AF473" s="181"/>
      <c r="AG473" s="181"/>
      <c r="AH473" s="181"/>
      <c r="AI473" s="181"/>
      <c r="AJ473" s="181"/>
      <c r="AK473" s="181"/>
      <c r="AL473" s="181"/>
      <c r="AM473" s="181"/>
      <c r="AN473" s="181"/>
      <c r="AO473" s="181"/>
      <c r="AP473" s="181"/>
      <c r="AQ473" s="181"/>
      <c r="AR473" s="181"/>
      <c r="AS473" s="181"/>
      <c r="AT473" s="181"/>
      <c r="AU473" s="181"/>
      <c r="AV473" s="181"/>
      <c r="AW473" s="181"/>
    </row>
    <row r="474" spans="1:49" ht="13.5" customHeight="1" x14ac:dyDescent="0.3">
      <c r="A474" s="1"/>
      <c r="B474" s="181"/>
      <c r="C474" s="181"/>
      <c r="D474" s="181"/>
      <c r="E474" s="182"/>
      <c r="F474" s="182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  <c r="AC474" s="181"/>
      <c r="AD474" s="181"/>
      <c r="AE474" s="181"/>
      <c r="AF474" s="181"/>
      <c r="AG474" s="181"/>
      <c r="AH474" s="181"/>
      <c r="AI474" s="181"/>
      <c r="AJ474" s="181"/>
      <c r="AK474" s="181"/>
      <c r="AL474" s="181"/>
      <c r="AM474" s="181"/>
      <c r="AN474" s="181"/>
      <c r="AO474" s="181"/>
      <c r="AP474" s="181"/>
      <c r="AQ474" s="181"/>
      <c r="AR474" s="181"/>
      <c r="AS474" s="181"/>
      <c r="AT474" s="181"/>
      <c r="AU474" s="181"/>
      <c r="AV474" s="181"/>
      <c r="AW474" s="181"/>
    </row>
    <row r="475" spans="1:49" ht="13.5" customHeight="1" x14ac:dyDescent="0.3">
      <c r="A475" s="1"/>
      <c r="B475" s="181"/>
      <c r="C475" s="181"/>
      <c r="D475" s="181"/>
      <c r="E475" s="182"/>
      <c r="F475" s="182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  <c r="AC475" s="181"/>
      <c r="AD475" s="181"/>
      <c r="AE475" s="181"/>
      <c r="AF475" s="181"/>
      <c r="AG475" s="181"/>
      <c r="AH475" s="181"/>
      <c r="AI475" s="181"/>
      <c r="AJ475" s="181"/>
      <c r="AK475" s="181"/>
      <c r="AL475" s="181"/>
      <c r="AM475" s="181"/>
      <c r="AN475" s="181"/>
      <c r="AO475" s="181"/>
      <c r="AP475" s="181"/>
      <c r="AQ475" s="181"/>
      <c r="AR475" s="181"/>
      <c r="AS475" s="181"/>
      <c r="AT475" s="181"/>
      <c r="AU475" s="181"/>
      <c r="AV475" s="181"/>
      <c r="AW475" s="181"/>
    </row>
    <row r="476" spans="1:49" ht="13.5" customHeight="1" x14ac:dyDescent="0.3">
      <c r="A476" s="1"/>
      <c r="B476" s="181"/>
      <c r="C476" s="181"/>
      <c r="D476" s="181"/>
      <c r="E476" s="182"/>
      <c r="F476" s="182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  <c r="AC476" s="181"/>
      <c r="AD476" s="181"/>
      <c r="AE476" s="181"/>
      <c r="AF476" s="181"/>
      <c r="AG476" s="181"/>
      <c r="AH476" s="181"/>
      <c r="AI476" s="181"/>
      <c r="AJ476" s="181"/>
      <c r="AK476" s="181"/>
      <c r="AL476" s="181"/>
      <c r="AM476" s="181"/>
      <c r="AN476" s="181"/>
      <c r="AO476" s="181"/>
      <c r="AP476" s="181"/>
      <c r="AQ476" s="181"/>
      <c r="AR476" s="181"/>
      <c r="AS476" s="181"/>
      <c r="AT476" s="181"/>
      <c r="AU476" s="181"/>
      <c r="AV476" s="181"/>
      <c r="AW476" s="181"/>
    </row>
    <row r="477" spans="1:49" ht="13.5" customHeight="1" x14ac:dyDescent="0.3">
      <c r="A477" s="1"/>
      <c r="B477" s="181"/>
      <c r="C477" s="181"/>
      <c r="D477" s="181"/>
      <c r="E477" s="182"/>
      <c r="F477" s="182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  <c r="AC477" s="181"/>
      <c r="AD477" s="181"/>
      <c r="AE477" s="181"/>
      <c r="AF477" s="181"/>
      <c r="AG477" s="181"/>
      <c r="AH477" s="181"/>
      <c r="AI477" s="181"/>
      <c r="AJ477" s="181"/>
      <c r="AK477" s="181"/>
      <c r="AL477" s="181"/>
      <c r="AM477" s="181"/>
      <c r="AN477" s="181"/>
      <c r="AO477" s="181"/>
      <c r="AP477" s="181"/>
      <c r="AQ477" s="181"/>
      <c r="AR477" s="181"/>
      <c r="AS477" s="181"/>
      <c r="AT477" s="181"/>
      <c r="AU477" s="181"/>
      <c r="AV477" s="181"/>
      <c r="AW477" s="181"/>
    </row>
    <row r="478" spans="1:49" ht="13.5" customHeight="1" x14ac:dyDescent="0.3">
      <c r="A478" s="1"/>
      <c r="B478" s="181"/>
      <c r="C478" s="181"/>
      <c r="D478" s="181"/>
      <c r="E478" s="182"/>
      <c r="F478" s="182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  <c r="AC478" s="181"/>
      <c r="AD478" s="181"/>
      <c r="AE478" s="181"/>
      <c r="AF478" s="181"/>
      <c r="AG478" s="181"/>
      <c r="AH478" s="181"/>
      <c r="AI478" s="181"/>
      <c r="AJ478" s="181"/>
      <c r="AK478" s="181"/>
      <c r="AL478" s="181"/>
      <c r="AM478" s="181"/>
      <c r="AN478" s="181"/>
      <c r="AO478" s="181"/>
      <c r="AP478" s="181"/>
      <c r="AQ478" s="181"/>
      <c r="AR478" s="181"/>
      <c r="AS478" s="181"/>
      <c r="AT478" s="181"/>
      <c r="AU478" s="181"/>
      <c r="AV478" s="181"/>
      <c r="AW478" s="181"/>
    </row>
    <row r="479" spans="1:49" ht="13.5" customHeight="1" x14ac:dyDescent="0.3">
      <c r="A479" s="1"/>
      <c r="B479" s="181"/>
      <c r="C479" s="181"/>
      <c r="D479" s="181"/>
      <c r="E479" s="182"/>
      <c r="F479" s="182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  <c r="AC479" s="181"/>
      <c r="AD479" s="181"/>
      <c r="AE479" s="181"/>
      <c r="AF479" s="181"/>
      <c r="AG479" s="181"/>
      <c r="AH479" s="181"/>
      <c r="AI479" s="181"/>
      <c r="AJ479" s="181"/>
      <c r="AK479" s="181"/>
      <c r="AL479" s="181"/>
      <c r="AM479" s="181"/>
      <c r="AN479" s="181"/>
      <c r="AO479" s="181"/>
      <c r="AP479" s="181"/>
      <c r="AQ479" s="181"/>
      <c r="AR479" s="181"/>
      <c r="AS479" s="181"/>
      <c r="AT479" s="181"/>
      <c r="AU479" s="181"/>
      <c r="AV479" s="181"/>
      <c r="AW479" s="181"/>
    </row>
    <row r="480" spans="1:49" ht="13.5" customHeight="1" x14ac:dyDescent="0.3">
      <c r="A480" s="1"/>
      <c r="B480" s="181"/>
      <c r="C480" s="181"/>
      <c r="D480" s="181"/>
      <c r="E480" s="182"/>
      <c r="F480" s="182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  <c r="AC480" s="181"/>
      <c r="AD480" s="181"/>
      <c r="AE480" s="181"/>
      <c r="AF480" s="181"/>
      <c r="AG480" s="181"/>
      <c r="AH480" s="181"/>
      <c r="AI480" s="181"/>
      <c r="AJ480" s="181"/>
      <c r="AK480" s="181"/>
      <c r="AL480" s="181"/>
      <c r="AM480" s="181"/>
      <c r="AN480" s="181"/>
      <c r="AO480" s="181"/>
      <c r="AP480" s="181"/>
      <c r="AQ480" s="181"/>
      <c r="AR480" s="181"/>
      <c r="AS480" s="181"/>
      <c r="AT480" s="181"/>
      <c r="AU480" s="181"/>
      <c r="AV480" s="181"/>
      <c r="AW480" s="181"/>
    </row>
    <row r="481" spans="1:49" ht="13.5" customHeight="1" x14ac:dyDescent="0.3">
      <c r="A481" s="1"/>
      <c r="B481" s="181"/>
      <c r="C481" s="181"/>
      <c r="D481" s="181"/>
      <c r="E481" s="182"/>
      <c r="F481" s="182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  <c r="AC481" s="181"/>
      <c r="AD481" s="181"/>
      <c r="AE481" s="181"/>
      <c r="AF481" s="181"/>
      <c r="AG481" s="181"/>
      <c r="AH481" s="181"/>
      <c r="AI481" s="181"/>
      <c r="AJ481" s="181"/>
      <c r="AK481" s="181"/>
      <c r="AL481" s="181"/>
      <c r="AM481" s="181"/>
      <c r="AN481" s="181"/>
      <c r="AO481" s="181"/>
      <c r="AP481" s="181"/>
      <c r="AQ481" s="181"/>
      <c r="AR481" s="181"/>
      <c r="AS481" s="181"/>
      <c r="AT481" s="181"/>
      <c r="AU481" s="181"/>
      <c r="AV481" s="181"/>
      <c r="AW481" s="181"/>
    </row>
    <row r="482" spans="1:49" ht="13.5" customHeight="1" x14ac:dyDescent="0.3">
      <c r="A482" s="1"/>
      <c r="B482" s="181"/>
      <c r="C482" s="181"/>
      <c r="D482" s="181"/>
      <c r="E482" s="182"/>
      <c r="F482" s="182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  <c r="AC482" s="181"/>
      <c r="AD482" s="181"/>
      <c r="AE482" s="181"/>
      <c r="AF482" s="181"/>
      <c r="AG482" s="181"/>
      <c r="AH482" s="181"/>
      <c r="AI482" s="181"/>
      <c r="AJ482" s="181"/>
      <c r="AK482" s="181"/>
      <c r="AL482" s="181"/>
      <c r="AM482" s="181"/>
      <c r="AN482" s="181"/>
      <c r="AO482" s="181"/>
      <c r="AP482" s="181"/>
      <c r="AQ482" s="181"/>
      <c r="AR482" s="181"/>
      <c r="AS482" s="181"/>
      <c r="AT482" s="181"/>
      <c r="AU482" s="181"/>
      <c r="AV482" s="181"/>
      <c r="AW482" s="181"/>
    </row>
    <row r="483" spans="1:49" ht="13.5" customHeight="1" x14ac:dyDescent="0.3">
      <c r="A483" s="1"/>
      <c r="B483" s="181"/>
      <c r="C483" s="181"/>
      <c r="D483" s="181"/>
      <c r="E483" s="182"/>
      <c r="F483" s="182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  <c r="AC483" s="181"/>
      <c r="AD483" s="181"/>
      <c r="AE483" s="181"/>
      <c r="AF483" s="181"/>
      <c r="AG483" s="181"/>
      <c r="AH483" s="181"/>
      <c r="AI483" s="181"/>
      <c r="AJ483" s="181"/>
      <c r="AK483" s="181"/>
      <c r="AL483" s="181"/>
      <c r="AM483" s="181"/>
      <c r="AN483" s="181"/>
      <c r="AO483" s="181"/>
      <c r="AP483" s="181"/>
      <c r="AQ483" s="181"/>
      <c r="AR483" s="181"/>
      <c r="AS483" s="181"/>
      <c r="AT483" s="181"/>
      <c r="AU483" s="181"/>
      <c r="AV483" s="181"/>
      <c r="AW483" s="181"/>
    </row>
    <row r="484" spans="1:49" ht="13.5" customHeight="1" x14ac:dyDescent="0.3">
      <c r="A484" s="1"/>
      <c r="B484" s="181"/>
      <c r="C484" s="181"/>
      <c r="D484" s="181"/>
      <c r="E484" s="182"/>
      <c r="F484" s="182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  <c r="AC484" s="181"/>
      <c r="AD484" s="181"/>
      <c r="AE484" s="181"/>
      <c r="AF484" s="181"/>
      <c r="AG484" s="181"/>
      <c r="AH484" s="181"/>
      <c r="AI484" s="181"/>
      <c r="AJ484" s="181"/>
      <c r="AK484" s="181"/>
      <c r="AL484" s="181"/>
      <c r="AM484" s="181"/>
      <c r="AN484" s="181"/>
      <c r="AO484" s="181"/>
      <c r="AP484" s="181"/>
      <c r="AQ484" s="181"/>
      <c r="AR484" s="181"/>
      <c r="AS484" s="181"/>
      <c r="AT484" s="181"/>
      <c r="AU484" s="181"/>
      <c r="AV484" s="181"/>
      <c r="AW484" s="181"/>
    </row>
    <row r="485" spans="1:49" ht="13.5" customHeight="1" x14ac:dyDescent="0.3">
      <c r="A485" s="1"/>
      <c r="B485" s="181"/>
      <c r="C485" s="181"/>
      <c r="D485" s="181"/>
      <c r="E485" s="182"/>
      <c r="F485" s="182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  <c r="AC485" s="181"/>
      <c r="AD485" s="181"/>
      <c r="AE485" s="181"/>
      <c r="AF485" s="181"/>
      <c r="AG485" s="181"/>
      <c r="AH485" s="181"/>
      <c r="AI485" s="181"/>
      <c r="AJ485" s="181"/>
      <c r="AK485" s="181"/>
      <c r="AL485" s="181"/>
      <c r="AM485" s="181"/>
      <c r="AN485" s="181"/>
      <c r="AO485" s="181"/>
      <c r="AP485" s="181"/>
      <c r="AQ485" s="181"/>
      <c r="AR485" s="181"/>
      <c r="AS485" s="181"/>
      <c r="AT485" s="181"/>
      <c r="AU485" s="181"/>
      <c r="AV485" s="181"/>
      <c r="AW485" s="181"/>
    </row>
    <row r="486" spans="1:49" ht="13.5" customHeight="1" x14ac:dyDescent="0.3">
      <c r="A486" s="1"/>
      <c r="B486" s="181"/>
      <c r="C486" s="181"/>
      <c r="D486" s="181"/>
      <c r="E486" s="182"/>
      <c r="F486" s="182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  <c r="AC486" s="181"/>
      <c r="AD486" s="181"/>
      <c r="AE486" s="181"/>
      <c r="AF486" s="181"/>
      <c r="AG486" s="181"/>
      <c r="AH486" s="181"/>
      <c r="AI486" s="181"/>
      <c r="AJ486" s="181"/>
      <c r="AK486" s="181"/>
      <c r="AL486" s="181"/>
      <c r="AM486" s="181"/>
      <c r="AN486" s="181"/>
      <c r="AO486" s="181"/>
      <c r="AP486" s="181"/>
      <c r="AQ486" s="181"/>
      <c r="AR486" s="181"/>
      <c r="AS486" s="181"/>
      <c r="AT486" s="181"/>
      <c r="AU486" s="181"/>
      <c r="AV486" s="181"/>
      <c r="AW486" s="181"/>
    </row>
    <row r="487" spans="1:49" ht="13.5" customHeight="1" x14ac:dyDescent="0.3">
      <c r="A487" s="1"/>
      <c r="B487" s="181"/>
      <c r="C487" s="181"/>
      <c r="D487" s="181"/>
      <c r="E487" s="182"/>
      <c r="F487" s="182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  <c r="AC487" s="181"/>
      <c r="AD487" s="181"/>
      <c r="AE487" s="181"/>
      <c r="AF487" s="181"/>
      <c r="AG487" s="181"/>
      <c r="AH487" s="181"/>
      <c r="AI487" s="181"/>
      <c r="AJ487" s="181"/>
      <c r="AK487" s="181"/>
      <c r="AL487" s="181"/>
      <c r="AM487" s="181"/>
      <c r="AN487" s="181"/>
      <c r="AO487" s="181"/>
      <c r="AP487" s="181"/>
      <c r="AQ487" s="181"/>
      <c r="AR487" s="181"/>
      <c r="AS487" s="181"/>
      <c r="AT487" s="181"/>
      <c r="AU487" s="181"/>
      <c r="AV487" s="181"/>
      <c r="AW487" s="181"/>
    </row>
    <row r="488" spans="1:49" ht="13.5" customHeight="1" x14ac:dyDescent="0.3">
      <c r="A488" s="1"/>
      <c r="B488" s="181"/>
      <c r="C488" s="181"/>
      <c r="D488" s="181"/>
      <c r="E488" s="182"/>
      <c r="F488" s="182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  <c r="AC488" s="181"/>
      <c r="AD488" s="181"/>
      <c r="AE488" s="181"/>
      <c r="AF488" s="181"/>
      <c r="AG488" s="181"/>
      <c r="AH488" s="181"/>
      <c r="AI488" s="181"/>
      <c r="AJ488" s="181"/>
      <c r="AK488" s="181"/>
      <c r="AL488" s="181"/>
      <c r="AM488" s="181"/>
      <c r="AN488" s="181"/>
      <c r="AO488" s="181"/>
      <c r="AP488" s="181"/>
      <c r="AQ488" s="181"/>
      <c r="AR488" s="181"/>
      <c r="AS488" s="181"/>
      <c r="AT488" s="181"/>
      <c r="AU488" s="181"/>
      <c r="AV488" s="181"/>
      <c r="AW488" s="181"/>
    </row>
    <row r="489" spans="1:49" ht="13.5" customHeight="1" x14ac:dyDescent="0.3">
      <c r="A489" s="1"/>
      <c r="B489" s="181"/>
      <c r="C489" s="181"/>
      <c r="D489" s="181"/>
      <c r="E489" s="182"/>
      <c r="F489" s="182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  <c r="AC489" s="181"/>
      <c r="AD489" s="181"/>
      <c r="AE489" s="181"/>
      <c r="AF489" s="181"/>
      <c r="AG489" s="181"/>
      <c r="AH489" s="181"/>
      <c r="AI489" s="181"/>
      <c r="AJ489" s="181"/>
      <c r="AK489" s="181"/>
      <c r="AL489" s="181"/>
      <c r="AM489" s="181"/>
      <c r="AN489" s="181"/>
      <c r="AO489" s="181"/>
      <c r="AP489" s="181"/>
      <c r="AQ489" s="181"/>
      <c r="AR489" s="181"/>
      <c r="AS489" s="181"/>
      <c r="AT489" s="181"/>
      <c r="AU489" s="181"/>
      <c r="AV489" s="181"/>
      <c r="AW489" s="181"/>
    </row>
    <row r="490" spans="1:49" ht="13.5" customHeight="1" x14ac:dyDescent="0.3">
      <c r="A490" s="1"/>
      <c r="B490" s="181"/>
      <c r="C490" s="181"/>
      <c r="D490" s="181"/>
      <c r="E490" s="182"/>
      <c r="F490" s="182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  <c r="AC490" s="181"/>
      <c r="AD490" s="181"/>
      <c r="AE490" s="181"/>
      <c r="AF490" s="181"/>
      <c r="AG490" s="181"/>
      <c r="AH490" s="181"/>
      <c r="AI490" s="181"/>
      <c r="AJ490" s="181"/>
      <c r="AK490" s="181"/>
      <c r="AL490" s="181"/>
      <c r="AM490" s="181"/>
      <c r="AN490" s="181"/>
      <c r="AO490" s="181"/>
      <c r="AP490" s="181"/>
      <c r="AQ490" s="181"/>
      <c r="AR490" s="181"/>
      <c r="AS490" s="181"/>
      <c r="AT490" s="181"/>
      <c r="AU490" s="181"/>
      <c r="AV490" s="181"/>
      <c r="AW490" s="181"/>
    </row>
    <row r="491" spans="1:49" ht="13.5" customHeight="1" x14ac:dyDescent="0.3">
      <c r="A491" s="1"/>
      <c r="B491" s="181"/>
      <c r="C491" s="181"/>
      <c r="D491" s="181"/>
      <c r="E491" s="182"/>
      <c r="F491" s="182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  <c r="AC491" s="181"/>
      <c r="AD491" s="181"/>
      <c r="AE491" s="181"/>
      <c r="AF491" s="181"/>
      <c r="AG491" s="181"/>
      <c r="AH491" s="181"/>
      <c r="AI491" s="181"/>
      <c r="AJ491" s="181"/>
      <c r="AK491" s="181"/>
      <c r="AL491" s="181"/>
      <c r="AM491" s="181"/>
      <c r="AN491" s="181"/>
      <c r="AO491" s="181"/>
      <c r="AP491" s="181"/>
      <c r="AQ491" s="181"/>
      <c r="AR491" s="181"/>
      <c r="AS491" s="181"/>
      <c r="AT491" s="181"/>
      <c r="AU491" s="181"/>
      <c r="AV491" s="181"/>
      <c r="AW491" s="181"/>
    </row>
    <row r="492" spans="1:49" ht="13.5" customHeight="1" x14ac:dyDescent="0.3">
      <c r="A492" s="1"/>
      <c r="B492" s="181"/>
      <c r="C492" s="181"/>
      <c r="D492" s="181"/>
      <c r="E492" s="182"/>
      <c r="F492" s="182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  <c r="AC492" s="181"/>
      <c r="AD492" s="181"/>
      <c r="AE492" s="181"/>
      <c r="AF492" s="181"/>
      <c r="AG492" s="181"/>
      <c r="AH492" s="181"/>
      <c r="AI492" s="181"/>
      <c r="AJ492" s="181"/>
      <c r="AK492" s="181"/>
      <c r="AL492" s="181"/>
      <c r="AM492" s="181"/>
      <c r="AN492" s="181"/>
      <c r="AO492" s="181"/>
      <c r="AP492" s="181"/>
      <c r="AQ492" s="181"/>
      <c r="AR492" s="181"/>
      <c r="AS492" s="181"/>
      <c r="AT492" s="181"/>
      <c r="AU492" s="181"/>
      <c r="AV492" s="181"/>
      <c r="AW492" s="181"/>
    </row>
    <row r="493" spans="1:49" ht="13.5" customHeight="1" x14ac:dyDescent="0.3">
      <c r="A493" s="1"/>
      <c r="B493" s="181"/>
      <c r="C493" s="181"/>
      <c r="D493" s="181"/>
      <c r="E493" s="182"/>
      <c r="F493" s="182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  <c r="AC493" s="181"/>
      <c r="AD493" s="181"/>
      <c r="AE493" s="181"/>
      <c r="AF493" s="181"/>
      <c r="AG493" s="181"/>
      <c r="AH493" s="181"/>
      <c r="AI493" s="181"/>
      <c r="AJ493" s="181"/>
      <c r="AK493" s="181"/>
      <c r="AL493" s="181"/>
      <c r="AM493" s="181"/>
      <c r="AN493" s="181"/>
      <c r="AO493" s="181"/>
      <c r="AP493" s="181"/>
      <c r="AQ493" s="181"/>
      <c r="AR493" s="181"/>
      <c r="AS493" s="181"/>
      <c r="AT493" s="181"/>
      <c r="AU493" s="181"/>
      <c r="AV493" s="181"/>
      <c r="AW493" s="181"/>
    </row>
    <row r="494" spans="1:49" ht="13.5" customHeight="1" x14ac:dyDescent="0.3">
      <c r="A494" s="1"/>
      <c r="B494" s="181"/>
      <c r="C494" s="181"/>
      <c r="D494" s="181"/>
      <c r="E494" s="182"/>
      <c r="F494" s="182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  <c r="AC494" s="181"/>
      <c r="AD494" s="181"/>
      <c r="AE494" s="181"/>
      <c r="AF494" s="181"/>
      <c r="AG494" s="181"/>
      <c r="AH494" s="181"/>
      <c r="AI494" s="181"/>
      <c r="AJ494" s="181"/>
      <c r="AK494" s="181"/>
      <c r="AL494" s="181"/>
      <c r="AM494" s="181"/>
      <c r="AN494" s="181"/>
      <c r="AO494" s="181"/>
      <c r="AP494" s="181"/>
      <c r="AQ494" s="181"/>
      <c r="AR494" s="181"/>
      <c r="AS494" s="181"/>
      <c r="AT494" s="181"/>
      <c r="AU494" s="181"/>
      <c r="AV494" s="181"/>
      <c r="AW494" s="181"/>
    </row>
    <row r="495" spans="1:49" ht="13.5" customHeight="1" x14ac:dyDescent="0.3">
      <c r="A495" s="1"/>
      <c r="B495" s="181"/>
      <c r="C495" s="181"/>
      <c r="D495" s="181"/>
      <c r="E495" s="182"/>
      <c r="F495" s="182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  <c r="AC495" s="181"/>
      <c r="AD495" s="181"/>
      <c r="AE495" s="181"/>
      <c r="AF495" s="181"/>
      <c r="AG495" s="181"/>
      <c r="AH495" s="181"/>
      <c r="AI495" s="181"/>
      <c r="AJ495" s="181"/>
      <c r="AK495" s="181"/>
      <c r="AL495" s="181"/>
      <c r="AM495" s="181"/>
      <c r="AN495" s="181"/>
      <c r="AO495" s="181"/>
      <c r="AP495" s="181"/>
      <c r="AQ495" s="181"/>
      <c r="AR495" s="181"/>
      <c r="AS495" s="181"/>
      <c r="AT495" s="181"/>
      <c r="AU495" s="181"/>
      <c r="AV495" s="181"/>
      <c r="AW495" s="181"/>
    </row>
    <row r="496" spans="1:49" ht="13.5" customHeight="1" x14ac:dyDescent="0.3">
      <c r="A496" s="1"/>
      <c r="B496" s="181"/>
      <c r="C496" s="181"/>
      <c r="D496" s="181"/>
      <c r="E496" s="182"/>
      <c r="F496" s="182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  <c r="AC496" s="181"/>
      <c r="AD496" s="181"/>
      <c r="AE496" s="181"/>
      <c r="AF496" s="181"/>
      <c r="AG496" s="181"/>
      <c r="AH496" s="181"/>
      <c r="AI496" s="181"/>
      <c r="AJ496" s="181"/>
      <c r="AK496" s="181"/>
      <c r="AL496" s="181"/>
      <c r="AM496" s="181"/>
      <c r="AN496" s="181"/>
      <c r="AO496" s="181"/>
      <c r="AP496" s="181"/>
      <c r="AQ496" s="181"/>
      <c r="AR496" s="181"/>
      <c r="AS496" s="181"/>
      <c r="AT496" s="181"/>
      <c r="AU496" s="181"/>
      <c r="AV496" s="181"/>
      <c r="AW496" s="181"/>
    </row>
    <row r="497" spans="1:49" ht="13.5" customHeight="1" x14ac:dyDescent="0.3">
      <c r="A497" s="1"/>
      <c r="B497" s="181"/>
      <c r="C497" s="181"/>
      <c r="D497" s="181"/>
      <c r="E497" s="182"/>
      <c r="F497" s="182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  <c r="AC497" s="181"/>
      <c r="AD497" s="181"/>
      <c r="AE497" s="181"/>
      <c r="AF497" s="181"/>
      <c r="AG497" s="181"/>
      <c r="AH497" s="181"/>
      <c r="AI497" s="181"/>
      <c r="AJ497" s="181"/>
      <c r="AK497" s="181"/>
      <c r="AL497" s="181"/>
      <c r="AM497" s="181"/>
      <c r="AN497" s="181"/>
      <c r="AO497" s="181"/>
      <c r="AP497" s="181"/>
      <c r="AQ497" s="181"/>
      <c r="AR497" s="181"/>
      <c r="AS497" s="181"/>
      <c r="AT497" s="181"/>
      <c r="AU497" s="181"/>
      <c r="AV497" s="181"/>
      <c r="AW497" s="181"/>
    </row>
    <row r="498" spans="1:49" ht="13.5" customHeight="1" x14ac:dyDescent="0.3">
      <c r="A498" s="1"/>
      <c r="B498" s="181"/>
      <c r="C498" s="181"/>
      <c r="D498" s="181"/>
      <c r="E498" s="182"/>
      <c r="F498" s="182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  <c r="AC498" s="181"/>
      <c r="AD498" s="181"/>
      <c r="AE498" s="181"/>
      <c r="AF498" s="181"/>
      <c r="AG498" s="181"/>
      <c r="AH498" s="181"/>
      <c r="AI498" s="181"/>
      <c r="AJ498" s="181"/>
      <c r="AK498" s="181"/>
      <c r="AL498" s="181"/>
      <c r="AM498" s="181"/>
      <c r="AN498" s="181"/>
      <c r="AO498" s="181"/>
      <c r="AP498" s="181"/>
      <c r="AQ498" s="181"/>
      <c r="AR498" s="181"/>
      <c r="AS498" s="181"/>
      <c r="AT498" s="181"/>
      <c r="AU498" s="181"/>
      <c r="AV498" s="181"/>
      <c r="AW498" s="181"/>
    </row>
    <row r="499" spans="1:49" ht="13.5" customHeight="1" x14ac:dyDescent="0.3">
      <c r="A499" s="1"/>
      <c r="B499" s="181"/>
      <c r="C499" s="181"/>
      <c r="D499" s="181"/>
      <c r="E499" s="182"/>
      <c r="F499" s="182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  <c r="AC499" s="181"/>
      <c r="AD499" s="181"/>
      <c r="AE499" s="181"/>
      <c r="AF499" s="181"/>
      <c r="AG499" s="181"/>
      <c r="AH499" s="181"/>
      <c r="AI499" s="181"/>
      <c r="AJ499" s="181"/>
      <c r="AK499" s="181"/>
      <c r="AL499" s="181"/>
      <c r="AM499" s="181"/>
      <c r="AN499" s="181"/>
      <c r="AO499" s="181"/>
      <c r="AP499" s="181"/>
      <c r="AQ499" s="181"/>
      <c r="AR499" s="181"/>
      <c r="AS499" s="181"/>
      <c r="AT499" s="181"/>
      <c r="AU499" s="181"/>
      <c r="AV499" s="181"/>
      <c r="AW499" s="181"/>
    </row>
    <row r="500" spans="1:49" ht="13.5" customHeight="1" x14ac:dyDescent="0.3">
      <c r="A500" s="1"/>
      <c r="B500" s="181"/>
      <c r="C500" s="181"/>
      <c r="D500" s="181"/>
      <c r="E500" s="182"/>
      <c r="F500" s="182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  <c r="AC500" s="181"/>
      <c r="AD500" s="181"/>
      <c r="AE500" s="181"/>
      <c r="AF500" s="181"/>
      <c r="AG500" s="181"/>
      <c r="AH500" s="181"/>
      <c r="AI500" s="181"/>
      <c r="AJ500" s="181"/>
      <c r="AK500" s="181"/>
      <c r="AL500" s="181"/>
      <c r="AM500" s="181"/>
      <c r="AN500" s="181"/>
      <c r="AO500" s="181"/>
      <c r="AP500" s="181"/>
      <c r="AQ500" s="181"/>
      <c r="AR500" s="181"/>
      <c r="AS500" s="181"/>
      <c r="AT500" s="181"/>
      <c r="AU500" s="181"/>
      <c r="AV500" s="181"/>
      <c r="AW500" s="181"/>
    </row>
    <row r="501" spans="1:49" ht="13.5" customHeight="1" x14ac:dyDescent="0.3">
      <c r="A501" s="1"/>
      <c r="B501" s="181"/>
      <c r="C501" s="181"/>
      <c r="D501" s="181"/>
      <c r="E501" s="182"/>
      <c r="F501" s="182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  <c r="AC501" s="181"/>
      <c r="AD501" s="181"/>
      <c r="AE501" s="181"/>
      <c r="AF501" s="181"/>
      <c r="AG501" s="181"/>
      <c r="AH501" s="181"/>
      <c r="AI501" s="181"/>
      <c r="AJ501" s="181"/>
      <c r="AK501" s="181"/>
      <c r="AL501" s="181"/>
      <c r="AM501" s="181"/>
      <c r="AN501" s="181"/>
      <c r="AO501" s="181"/>
      <c r="AP501" s="181"/>
      <c r="AQ501" s="181"/>
      <c r="AR501" s="181"/>
      <c r="AS501" s="181"/>
      <c r="AT501" s="181"/>
      <c r="AU501" s="181"/>
      <c r="AV501" s="181"/>
      <c r="AW501" s="181"/>
    </row>
    <row r="502" spans="1:49" ht="13.5" customHeight="1" x14ac:dyDescent="0.3">
      <c r="A502" s="1"/>
      <c r="B502" s="181"/>
      <c r="C502" s="181"/>
      <c r="D502" s="181"/>
      <c r="E502" s="182"/>
      <c r="F502" s="182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  <c r="AC502" s="181"/>
      <c r="AD502" s="181"/>
      <c r="AE502" s="181"/>
      <c r="AF502" s="181"/>
      <c r="AG502" s="181"/>
      <c r="AH502" s="181"/>
      <c r="AI502" s="181"/>
      <c r="AJ502" s="181"/>
      <c r="AK502" s="181"/>
      <c r="AL502" s="181"/>
      <c r="AM502" s="181"/>
      <c r="AN502" s="181"/>
      <c r="AO502" s="181"/>
      <c r="AP502" s="181"/>
      <c r="AQ502" s="181"/>
      <c r="AR502" s="181"/>
      <c r="AS502" s="181"/>
      <c r="AT502" s="181"/>
      <c r="AU502" s="181"/>
      <c r="AV502" s="181"/>
      <c r="AW502" s="181"/>
    </row>
    <row r="503" spans="1:49" ht="13.5" customHeight="1" x14ac:dyDescent="0.3">
      <c r="A503" s="1"/>
      <c r="B503" s="181"/>
      <c r="C503" s="181"/>
      <c r="D503" s="181"/>
      <c r="E503" s="182"/>
      <c r="F503" s="182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  <c r="AC503" s="181"/>
      <c r="AD503" s="181"/>
      <c r="AE503" s="181"/>
      <c r="AF503" s="181"/>
      <c r="AG503" s="181"/>
      <c r="AH503" s="181"/>
      <c r="AI503" s="181"/>
      <c r="AJ503" s="181"/>
      <c r="AK503" s="181"/>
      <c r="AL503" s="181"/>
      <c r="AM503" s="181"/>
      <c r="AN503" s="181"/>
      <c r="AO503" s="181"/>
      <c r="AP503" s="181"/>
      <c r="AQ503" s="181"/>
      <c r="AR503" s="181"/>
      <c r="AS503" s="181"/>
      <c r="AT503" s="181"/>
      <c r="AU503" s="181"/>
      <c r="AV503" s="181"/>
      <c r="AW503" s="181"/>
    </row>
    <row r="504" spans="1:49" ht="13.5" customHeight="1" x14ac:dyDescent="0.3">
      <c r="A504" s="1"/>
      <c r="B504" s="181"/>
      <c r="C504" s="181"/>
      <c r="D504" s="181"/>
      <c r="E504" s="182"/>
      <c r="F504" s="182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  <c r="AC504" s="181"/>
      <c r="AD504" s="181"/>
      <c r="AE504" s="181"/>
      <c r="AF504" s="181"/>
      <c r="AG504" s="181"/>
      <c r="AH504" s="181"/>
      <c r="AI504" s="181"/>
      <c r="AJ504" s="181"/>
      <c r="AK504" s="181"/>
      <c r="AL504" s="181"/>
      <c r="AM504" s="181"/>
      <c r="AN504" s="181"/>
      <c r="AO504" s="181"/>
      <c r="AP504" s="181"/>
      <c r="AQ504" s="181"/>
      <c r="AR504" s="181"/>
      <c r="AS504" s="181"/>
      <c r="AT504" s="181"/>
      <c r="AU504" s="181"/>
      <c r="AV504" s="181"/>
      <c r="AW504" s="181"/>
    </row>
    <row r="505" spans="1:49" ht="13.5" customHeight="1" x14ac:dyDescent="0.3">
      <c r="A505" s="1"/>
      <c r="B505" s="181"/>
      <c r="C505" s="181"/>
      <c r="D505" s="181"/>
      <c r="E505" s="182"/>
      <c r="F505" s="182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  <c r="AC505" s="181"/>
      <c r="AD505" s="181"/>
      <c r="AE505" s="181"/>
      <c r="AF505" s="181"/>
      <c r="AG505" s="181"/>
      <c r="AH505" s="181"/>
      <c r="AI505" s="181"/>
      <c r="AJ505" s="181"/>
      <c r="AK505" s="181"/>
      <c r="AL505" s="181"/>
      <c r="AM505" s="181"/>
      <c r="AN505" s="181"/>
      <c r="AO505" s="181"/>
      <c r="AP505" s="181"/>
      <c r="AQ505" s="181"/>
      <c r="AR505" s="181"/>
      <c r="AS505" s="181"/>
      <c r="AT505" s="181"/>
      <c r="AU505" s="181"/>
      <c r="AV505" s="181"/>
      <c r="AW505" s="181"/>
    </row>
    <row r="506" spans="1:49" ht="13.5" customHeight="1" x14ac:dyDescent="0.3">
      <c r="A506" s="1"/>
      <c r="B506" s="181"/>
      <c r="C506" s="181"/>
      <c r="D506" s="181"/>
      <c r="E506" s="182"/>
      <c r="F506" s="182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  <c r="AC506" s="181"/>
      <c r="AD506" s="181"/>
      <c r="AE506" s="181"/>
      <c r="AF506" s="181"/>
      <c r="AG506" s="181"/>
      <c r="AH506" s="181"/>
      <c r="AI506" s="181"/>
      <c r="AJ506" s="181"/>
      <c r="AK506" s="181"/>
      <c r="AL506" s="181"/>
      <c r="AM506" s="181"/>
      <c r="AN506" s="181"/>
      <c r="AO506" s="181"/>
      <c r="AP506" s="181"/>
      <c r="AQ506" s="181"/>
      <c r="AR506" s="181"/>
      <c r="AS506" s="181"/>
      <c r="AT506" s="181"/>
      <c r="AU506" s="181"/>
      <c r="AV506" s="181"/>
      <c r="AW506" s="181"/>
    </row>
    <row r="507" spans="1:49" ht="13.5" customHeight="1" x14ac:dyDescent="0.3">
      <c r="A507" s="1"/>
      <c r="B507" s="181"/>
      <c r="C507" s="181"/>
      <c r="D507" s="181"/>
      <c r="E507" s="182"/>
      <c r="F507" s="182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  <c r="AC507" s="181"/>
      <c r="AD507" s="181"/>
      <c r="AE507" s="181"/>
      <c r="AF507" s="181"/>
      <c r="AG507" s="181"/>
      <c r="AH507" s="181"/>
      <c r="AI507" s="181"/>
      <c r="AJ507" s="181"/>
      <c r="AK507" s="181"/>
      <c r="AL507" s="181"/>
      <c r="AM507" s="181"/>
      <c r="AN507" s="181"/>
      <c r="AO507" s="181"/>
      <c r="AP507" s="181"/>
      <c r="AQ507" s="181"/>
      <c r="AR507" s="181"/>
      <c r="AS507" s="181"/>
      <c r="AT507" s="181"/>
      <c r="AU507" s="181"/>
      <c r="AV507" s="181"/>
      <c r="AW507" s="181"/>
    </row>
    <row r="508" spans="1:49" ht="13.5" customHeight="1" x14ac:dyDescent="0.3">
      <c r="A508" s="1"/>
      <c r="B508" s="181"/>
      <c r="C508" s="181"/>
      <c r="D508" s="181"/>
      <c r="E508" s="182"/>
      <c r="F508" s="182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  <c r="AC508" s="181"/>
      <c r="AD508" s="181"/>
      <c r="AE508" s="181"/>
      <c r="AF508" s="181"/>
      <c r="AG508" s="181"/>
      <c r="AH508" s="181"/>
      <c r="AI508" s="181"/>
      <c r="AJ508" s="181"/>
      <c r="AK508" s="181"/>
      <c r="AL508" s="181"/>
      <c r="AM508" s="181"/>
      <c r="AN508" s="181"/>
      <c r="AO508" s="181"/>
      <c r="AP508" s="181"/>
      <c r="AQ508" s="181"/>
      <c r="AR508" s="181"/>
      <c r="AS508" s="181"/>
      <c r="AT508" s="181"/>
      <c r="AU508" s="181"/>
      <c r="AV508" s="181"/>
      <c r="AW508" s="181"/>
    </row>
    <row r="509" spans="1:49" ht="13.5" customHeight="1" x14ac:dyDescent="0.3">
      <c r="A509" s="1"/>
      <c r="B509" s="181"/>
      <c r="C509" s="181"/>
      <c r="D509" s="181"/>
      <c r="E509" s="182"/>
      <c r="F509" s="182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  <c r="AC509" s="181"/>
      <c r="AD509" s="181"/>
      <c r="AE509" s="181"/>
      <c r="AF509" s="181"/>
      <c r="AG509" s="181"/>
      <c r="AH509" s="181"/>
      <c r="AI509" s="181"/>
      <c r="AJ509" s="181"/>
      <c r="AK509" s="181"/>
      <c r="AL509" s="181"/>
      <c r="AM509" s="181"/>
      <c r="AN509" s="181"/>
      <c r="AO509" s="181"/>
      <c r="AP509" s="181"/>
      <c r="AQ509" s="181"/>
      <c r="AR509" s="181"/>
      <c r="AS509" s="181"/>
      <c r="AT509" s="181"/>
      <c r="AU509" s="181"/>
      <c r="AV509" s="181"/>
      <c r="AW509" s="181"/>
    </row>
    <row r="510" spans="1:49" ht="13.5" customHeight="1" x14ac:dyDescent="0.3">
      <c r="A510" s="1"/>
      <c r="B510" s="181"/>
      <c r="C510" s="181"/>
      <c r="D510" s="181"/>
      <c r="E510" s="182"/>
      <c r="F510" s="182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  <c r="AC510" s="181"/>
      <c r="AD510" s="181"/>
      <c r="AE510" s="181"/>
      <c r="AF510" s="181"/>
      <c r="AG510" s="181"/>
      <c r="AH510" s="181"/>
      <c r="AI510" s="181"/>
      <c r="AJ510" s="181"/>
      <c r="AK510" s="181"/>
      <c r="AL510" s="181"/>
      <c r="AM510" s="181"/>
      <c r="AN510" s="181"/>
      <c r="AO510" s="181"/>
      <c r="AP510" s="181"/>
      <c r="AQ510" s="181"/>
      <c r="AR510" s="181"/>
      <c r="AS510" s="181"/>
      <c r="AT510" s="181"/>
      <c r="AU510" s="181"/>
      <c r="AV510" s="181"/>
      <c r="AW510" s="181"/>
    </row>
    <row r="511" spans="1:49" ht="13.5" customHeight="1" x14ac:dyDescent="0.3">
      <c r="A511" s="1"/>
      <c r="B511" s="181"/>
      <c r="C511" s="181"/>
      <c r="D511" s="181"/>
      <c r="E511" s="182"/>
      <c r="F511" s="182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  <c r="AC511" s="181"/>
      <c r="AD511" s="181"/>
      <c r="AE511" s="181"/>
      <c r="AF511" s="181"/>
      <c r="AG511" s="181"/>
      <c r="AH511" s="181"/>
      <c r="AI511" s="181"/>
      <c r="AJ511" s="181"/>
      <c r="AK511" s="181"/>
      <c r="AL511" s="181"/>
      <c r="AM511" s="181"/>
      <c r="AN511" s="181"/>
      <c r="AO511" s="181"/>
      <c r="AP511" s="181"/>
      <c r="AQ511" s="181"/>
      <c r="AR511" s="181"/>
      <c r="AS511" s="181"/>
      <c r="AT511" s="181"/>
      <c r="AU511" s="181"/>
      <c r="AV511" s="181"/>
      <c r="AW511" s="181"/>
    </row>
    <row r="512" spans="1:49" ht="13.5" customHeight="1" x14ac:dyDescent="0.3">
      <c r="A512" s="1"/>
      <c r="B512" s="181"/>
      <c r="C512" s="181"/>
      <c r="D512" s="181"/>
      <c r="E512" s="182"/>
      <c r="F512" s="182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  <c r="AC512" s="181"/>
      <c r="AD512" s="181"/>
      <c r="AE512" s="181"/>
      <c r="AF512" s="181"/>
      <c r="AG512" s="181"/>
      <c r="AH512" s="181"/>
      <c r="AI512" s="181"/>
      <c r="AJ512" s="181"/>
      <c r="AK512" s="181"/>
      <c r="AL512" s="181"/>
      <c r="AM512" s="181"/>
      <c r="AN512" s="181"/>
      <c r="AO512" s="181"/>
      <c r="AP512" s="181"/>
      <c r="AQ512" s="181"/>
      <c r="AR512" s="181"/>
      <c r="AS512" s="181"/>
      <c r="AT512" s="181"/>
      <c r="AU512" s="181"/>
      <c r="AV512" s="181"/>
      <c r="AW512" s="181"/>
    </row>
    <row r="513" spans="1:49" ht="13.5" customHeight="1" x14ac:dyDescent="0.3">
      <c r="A513" s="1"/>
      <c r="B513" s="181"/>
      <c r="C513" s="181"/>
      <c r="D513" s="181"/>
      <c r="E513" s="182"/>
      <c r="F513" s="182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  <c r="AC513" s="181"/>
      <c r="AD513" s="181"/>
      <c r="AE513" s="181"/>
      <c r="AF513" s="181"/>
      <c r="AG513" s="181"/>
      <c r="AH513" s="181"/>
      <c r="AI513" s="181"/>
      <c r="AJ513" s="181"/>
      <c r="AK513" s="181"/>
      <c r="AL513" s="181"/>
      <c r="AM513" s="181"/>
      <c r="AN513" s="181"/>
      <c r="AO513" s="181"/>
      <c r="AP513" s="181"/>
      <c r="AQ513" s="181"/>
      <c r="AR513" s="181"/>
      <c r="AS513" s="181"/>
      <c r="AT513" s="181"/>
      <c r="AU513" s="181"/>
      <c r="AV513" s="181"/>
      <c r="AW513" s="181"/>
    </row>
    <row r="514" spans="1:49" ht="13.5" customHeight="1" x14ac:dyDescent="0.3">
      <c r="A514" s="1"/>
      <c r="B514" s="181"/>
      <c r="C514" s="181"/>
      <c r="D514" s="181"/>
      <c r="E514" s="182"/>
      <c r="F514" s="182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  <c r="AC514" s="181"/>
      <c r="AD514" s="181"/>
      <c r="AE514" s="181"/>
      <c r="AF514" s="181"/>
      <c r="AG514" s="181"/>
      <c r="AH514" s="181"/>
      <c r="AI514" s="181"/>
      <c r="AJ514" s="181"/>
      <c r="AK514" s="181"/>
      <c r="AL514" s="181"/>
      <c r="AM514" s="181"/>
      <c r="AN514" s="181"/>
      <c r="AO514" s="181"/>
      <c r="AP514" s="181"/>
      <c r="AQ514" s="181"/>
      <c r="AR514" s="181"/>
      <c r="AS514" s="181"/>
      <c r="AT514" s="181"/>
      <c r="AU514" s="181"/>
      <c r="AV514" s="181"/>
      <c r="AW514" s="181"/>
    </row>
    <row r="515" spans="1:49" ht="13.5" customHeight="1" x14ac:dyDescent="0.3">
      <c r="A515" s="1"/>
      <c r="B515" s="181"/>
      <c r="C515" s="181"/>
      <c r="D515" s="181"/>
      <c r="E515" s="182"/>
      <c r="F515" s="182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  <c r="AC515" s="181"/>
      <c r="AD515" s="181"/>
      <c r="AE515" s="181"/>
      <c r="AF515" s="181"/>
      <c r="AG515" s="181"/>
      <c r="AH515" s="181"/>
      <c r="AI515" s="181"/>
      <c r="AJ515" s="181"/>
      <c r="AK515" s="181"/>
      <c r="AL515" s="181"/>
      <c r="AM515" s="181"/>
      <c r="AN515" s="181"/>
      <c r="AO515" s="181"/>
      <c r="AP515" s="181"/>
      <c r="AQ515" s="181"/>
      <c r="AR515" s="181"/>
      <c r="AS515" s="181"/>
      <c r="AT515" s="181"/>
      <c r="AU515" s="181"/>
      <c r="AV515" s="181"/>
      <c r="AW515" s="181"/>
    </row>
    <row r="516" spans="1:49" ht="13.5" customHeight="1" x14ac:dyDescent="0.3">
      <c r="A516" s="1"/>
      <c r="B516" s="181"/>
      <c r="C516" s="181"/>
      <c r="D516" s="181"/>
      <c r="E516" s="182"/>
      <c r="F516" s="182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  <c r="AC516" s="181"/>
      <c r="AD516" s="181"/>
      <c r="AE516" s="181"/>
      <c r="AF516" s="181"/>
      <c r="AG516" s="181"/>
      <c r="AH516" s="181"/>
      <c r="AI516" s="181"/>
      <c r="AJ516" s="181"/>
      <c r="AK516" s="181"/>
      <c r="AL516" s="181"/>
      <c r="AM516" s="181"/>
      <c r="AN516" s="181"/>
      <c r="AO516" s="181"/>
      <c r="AP516" s="181"/>
      <c r="AQ516" s="181"/>
      <c r="AR516" s="181"/>
      <c r="AS516" s="181"/>
      <c r="AT516" s="181"/>
      <c r="AU516" s="181"/>
      <c r="AV516" s="181"/>
      <c r="AW516" s="181"/>
    </row>
    <row r="517" spans="1:49" ht="13.5" customHeight="1" x14ac:dyDescent="0.3">
      <c r="A517" s="1"/>
      <c r="B517" s="181"/>
      <c r="C517" s="181"/>
      <c r="D517" s="181"/>
      <c r="E517" s="182"/>
      <c r="F517" s="182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  <c r="AC517" s="181"/>
      <c r="AD517" s="181"/>
      <c r="AE517" s="181"/>
      <c r="AF517" s="181"/>
      <c r="AG517" s="181"/>
      <c r="AH517" s="181"/>
      <c r="AI517" s="181"/>
      <c r="AJ517" s="181"/>
      <c r="AK517" s="181"/>
      <c r="AL517" s="181"/>
      <c r="AM517" s="181"/>
      <c r="AN517" s="181"/>
      <c r="AO517" s="181"/>
      <c r="AP517" s="181"/>
      <c r="AQ517" s="181"/>
      <c r="AR517" s="181"/>
      <c r="AS517" s="181"/>
      <c r="AT517" s="181"/>
      <c r="AU517" s="181"/>
      <c r="AV517" s="181"/>
      <c r="AW517" s="181"/>
    </row>
    <row r="518" spans="1:49" ht="13.5" customHeight="1" x14ac:dyDescent="0.3">
      <c r="A518" s="1"/>
      <c r="B518" s="181"/>
      <c r="C518" s="181"/>
      <c r="D518" s="181"/>
      <c r="E518" s="182"/>
      <c r="F518" s="182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  <c r="AC518" s="181"/>
      <c r="AD518" s="181"/>
      <c r="AE518" s="181"/>
      <c r="AF518" s="181"/>
      <c r="AG518" s="181"/>
      <c r="AH518" s="181"/>
      <c r="AI518" s="181"/>
      <c r="AJ518" s="181"/>
      <c r="AK518" s="181"/>
      <c r="AL518" s="181"/>
      <c r="AM518" s="181"/>
      <c r="AN518" s="181"/>
      <c r="AO518" s="181"/>
      <c r="AP518" s="181"/>
      <c r="AQ518" s="181"/>
      <c r="AR518" s="181"/>
      <c r="AS518" s="181"/>
      <c r="AT518" s="181"/>
      <c r="AU518" s="181"/>
      <c r="AV518" s="181"/>
      <c r="AW518" s="181"/>
    </row>
    <row r="519" spans="1:49" ht="13.5" customHeight="1" x14ac:dyDescent="0.3">
      <c r="A519" s="1"/>
      <c r="B519" s="181"/>
      <c r="C519" s="181"/>
      <c r="D519" s="181"/>
      <c r="E519" s="182"/>
      <c r="F519" s="182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  <c r="AC519" s="181"/>
      <c r="AD519" s="181"/>
      <c r="AE519" s="181"/>
      <c r="AF519" s="181"/>
      <c r="AG519" s="181"/>
      <c r="AH519" s="181"/>
      <c r="AI519" s="181"/>
      <c r="AJ519" s="181"/>
      <c r="AK519" s="181"/>
      <c r="AL519" s="181"/>
      <c r="AM519" s="181"/>
      <c r="AN519" s="181"/>
      <c r="AO519" s="181"/>
      <c r="AP519" s="181"/>
      <c r="AQ519" s="181"/>
      <c r="AR519" s="181"/>
      <c r="AS519" s="181"/>
      <c r="AT519" s="181"/>
      <c r="AU519" s="181"/>
      <c r="AV519" s="181"/>
      <c r="AW519" s="181"/>
    </row>
    <row r="520" spans="1:49" ht="13.5" customHeight="1" x14ac:dyDescent="0.3">
      <c r="A520" s="1"/>
      <c r="B520" s="181"/>
      <c r="C520" s="181"/>
      <c r="D520" s="181"/>
      <c r="E520" s="182"/>
      <c r="F520" s="182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  <c r="AC520" s="181"/>
      <c r="AD520" s="181"/>
      <c r="AE520" s="181"/>
      <c r="AF520" s="181"/>
      <c r="AG520" s="181"/>
      <c r="AH520" s="181"/>
      <c r="AI520" s="181"/>
      <c r="AJ520" s="181"/>
      <c r="AK520" s="181"/>
      <c r="AL520" s="181"/>
      <c r="AM520" s="181"/>
      <c r="AN520" s="181"/>
      <c r="AO520" s="181"/>
      <c r="AP520" s="181"/>
      <c r="AQ520" s="181"/>
      <c r="AR520" s="181"/>
      <c r="AS520" s="181"/>
      <c r="AT520" s="181"/>
      <c r="AU520" s="181"/>
      <c r="AV520" s="181"/>
      <c r="AW520" s="181"/>
    </row>
    <row r="521" spans="1:49" ht="13.5" customHeight="1" x14ac:dyDescent="0.3">
      <c r="A521" s="1"/>
      <c r="B521" s="181"/>
      <c r="C521" s="181"/>
      <c r="D521" s="181"/>
      <c r="E521" s="182"/>
      <c r="F521" s="182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  <c r="AC521" s="181"/>
      <c r="AD521" s="181"/>
      <c r="AE521" s="181"/>
      <c r="AF521" s="181"/>
      <c r="AG521" s="181"/>
      <c r="AH521" s="181"/>
      <c r="AI521" s="181"/>
      <c r="AJ521" s="181"/>
      <c r="AK521" s="181"/>
      <c r="AL521" s="181"/>
      <c r="AM521" s="181"/>
      <c r="AN521" s="181"/>
      <c r="AO521" s="181"/>
      <c r="AP521" s="181"/>
      <c r="AQ521" s="181"/>
      <c r="AR521" s="181"/>
      <c r="AS521" s="181"/>
      <c r="AT521" s="181"/>
      <c r="AU521" s="181"/>
      <c r="AV521" s="181"/>
      <c r="AW521" s="181"/>
    </row>
    <row r="522" spans="1:49" ht="13.5" customHeight="1" x14ac:dyDescent="0.3">
      <c r="A522" s="1"/>
      <c r="B522" s="181"/>
      <c r="C522" s="181"/>
      <c r="D522" s="181"/>
      <c r="E522" s="182"/>
      <c r="F522" s="182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  <c r="AC522" s="181"/>
      <c r="AD522" s="181"/>
      <c r="AE522" s="181"/>
      <c r="AF522" s="181"/>
      <c r="AG522" s="181"/>
      <c r="AH522" s="181"/>
      <c r="AI522" s="181"/>
      <c r="AJ522" s="181"/>
      <c r="AK522" s="181"/>
      <c r="AL522" s="181"/>
      <c r="AM522" s="181"/>
      <c r="AN522" s="181"/>
      <c r="AO522" s="181"/>
      <c r="AP522" s="181"/>
      <c r="AQ522" s="181"/>
      <c r="AR522" s="181"/>
      <c r="AS522" s="181"/>
      <c r="AT522" s="181"/>
      <c r="AU522" s="181"/>
      <c r="AV522" s="181"/>
      <c r="AW522" s="181"/>
    </row>
    <row r="523" spans="1:49" ht="13.5" customHeight="1" x14ac:dyDescent="0.3">
      <c r="A523" s="1"/>
      <c r="B523" s="181"/>
      <c r="C523" s="181"/>
      <c r="D523" s="181"/>
      <c r="E523" s="182"/>
      <c r="F523" s="182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  <c r="AC523" s="181"/>
      <c r="AD523" s="181"/>
      <c r="AE523" s="181"/>
      <c r="AF523" s="181"/>
      <c r="AG523" s="181"/>
      <c r="AH523" s="181"/>
      <c r="AI523" s="181"/>
      <c r="AJ523" s="181"/>
      <c r="AK523" s="181"/>
      <c r="AL523" s="181"/>
      <c r="AM523" s="181"/>
      <c r="AN523" s="181"/>
      <c r="AO523" s="181"/>
      <c r="AP523" s="181"/>
      <c r="AQ523" s="181"/>
      <c r="AR523" s="181"/>
      <c r="AS523" s="181"/>
      <c r="AT523" s="181"/>
      <c r="AU523" s="181"/>
      <c r="AV523" s="181"/>
      <c r="AW523" s="181"/>
    </row>
    <row r="524" spans="1:49" ht="13.5" customHeight="1" x14ac:dyDescent="0.3">
      <c r="A524" s="1"/>
      <c r="B524" s="181"/>
      <c r="C524" s="181"/>
      <c r="D524" s="181"/>
      <c r="E524" s="182"/>
      <c r="F524" s="182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  <c r="AC524" s="181"/>
      <c r="AD524" s="181"/>
      <c r="AE524" s="181"/>
      <c r="AF524" s="181"/>
      <c r="AG524" s="181"/>
      <c r="AH524" s="181"/>
      <c r="AI524" s="181"/>
      <c r="AJ524" s="181"/>
      <c r="AK524" s="181"/>
      <c r="AL524" s="181"/>
      <c r="AM524" s="181"/>
      <c r="AN524" s="181"/>
      <c r="AO524" s="181"/>
      <c r="AP524" s="181"/>
      <c r="AQ524" s="181"/>
      <c r="AR524" s="181"/>
      <c r="AS524" s="181"/>
      <c r="AT524" s="181"/>
      <c r="AU524" s="181"/>
      <c r="AV524" s="181"/>
      <c r="AW524" s="181"/>
    </row>
    <row r="525" spans="1:49" ht="13.5" customHeight="1" x14ac:dyDescent="0.3">
      <c r="A525" s="1"/>
      <c r="B525" s="181"/>
      <c r="C525" s="181"/>
      <c r="D525" s="181"/>
      <c r="E525" s="182"/>
      <c r="F525" s="182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  <c r="AC525" s="181"/>
      <c r="AD525" s="181"/>
      <c r="AE525" s="181"/>
      <c r="AF525" s="181"/>
      <c r="AG525" s="181"/>
      <c r="AH525" s="181"/>
      <c r="AI525" s="181"/>
      <c r="AJ525" s="181"/>
      <c r="AK525" s="181"/>
      <c r="AL525" s="181"/>
      <c r="AM525" s="181"/>
      <c r="AN525" s="181"/>
      <c r="AO525" s="181"/>
      <c r="AP525" s="181"/>
      <c r="AQ525" s="181"/>
      <c r="AR525" s="181"/>
      <c r="AS525" s="181"/>
      <c r="AT525" s="181"/>
      <c r="AU525" s="181"/>
      <c r="AV525" s="181"/>
      <c r="AW525" s="181"/>
    </row>
    <row r="526" spans="1:49" ht="13.5" customHeight="1" x14ac:dyDescent="0.3">
      <c r="A526" s="1"/>
      <c r="B526" s="181"/>
      <c r="C526" s="181"/>
      <c r="D526" s="181"/>
      <c r="E526" s="182"/>
      <c r="F526" s="182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  <c r="AC526" s="181"/>
      <c r="AD526" s="181"/>
      <c r="AE526" s="181"/>
      <c r="AF526" s="181"/>
      <c r="AG526" s="181"/>
      <c r="AH526" s="181"/>
      <c r="AI526" s="181"/>
      <c r="AJ526" s="181"/>
      <c r="AK526" s="181"/>
      <c r="AL526" s="181"/>
      <c r="AM526" s="181"/>
      <c r="AN526" s="181"/>
      <c r="AO526" s="181"/>
      <c r="AP526" s="181"/>
      <c r="AQ526" s="181"/>
      <c r="AR526" s="181"/>
      <c r="AS526" s="181"/>
      <c r="AT526" s="181"/>
      <c r="AU526" s="181"/>
      <c r="AV526" s="181"/>
      <c r="AW526" s="181"/>
    </row>
    <row r="527" spans="1:49" ht="13.5" customHeight="1" x14ac:dyDescent="0.3">
      <c r="A527" s="1"/>
      <c r="B527" s="181"/>
      <c r="C527" s="181"/>
      <c r="D527" s="181"/>
      <c r="E527" s="182"/>
      <c r="F527" s="182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  <c r="AC527" s="181"/>
      <c r="AD527" s="181"/>
      <c r="AE527" s="181"/>
      <c r="AF527" s="181"/>
      <c r="AG527" s="181"/>
      <c r="AH527" s="181"/>
      <c r="AI527" s="181"/>
      <c r="AJ527" s="181"/>
      <c r="AK527" s="181"/>
      <c r="AL527" s="181"/>
      <c r="AM527" s="181"/>
      <c r="AN527" s="181"/>
      <c r="AO527" s="181"/>
      <c r="AP527" s="181"/>
      <c r="AQ527" s="181"/>
      <c r="AR527" s="181"/>
      <c r="AS527" s="181"/>
      <c r="AT527" s="181"/>
      <c r="AU527" s="181"/>
      <c r="AV527" s="181"/>
      <c r="AW527" s="181"/>
    </row>
    <row r="528" spans="1:49" ht="13.5" customHeight="1" x14ac:dyDescent="0.3">
      <c r="A528" s="1"/>
      <c r="B528" s="181"/>
      <c r="C528" s="181"/>
      <c r="D528" s="181"/>
      <c r="E528" s="182"/>
      <c r="F528" s="182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  <c r="AC528" s="181"/>
      <c r="AD528" s="181"/>
      <c r="AE528" s="181"/>
      <c r="AF528" s="181"/>
      <c r="AG528" s="181"/>
      <c r="AH528" s="181"/>
      <c r="AI528" s="181"/>
      <c r="AJ528" s="181"/>
      <c r="AK528" s="181"/>
      <c r="AL528" s="181"/>
      <c r="AM528" s="181"/>
      <c r="AN528" s="181"/>
      <c r="AO528" s="181"/>
      <c r="AP528" s="181"/>
      <c r="AQ528" s="181"/>
      <c r="AR528" s="181"/>
      <c r="AS528" s="181"/>
      <c r="AT528" s="181"/>
      <c r="AU528" s="181"/>
      <c r="AV528" s="181"/>
      <c r="AW528" s="181"/>
    </row>
    <row r="529" spans="1:49" ht="13.5" customHeight="1" x14ac:dyDescent="0.3">
      <c r="A529" s="1"/>
      <c r="B529" s="181"/>
      <c r="C529" s="181"/>
      <c r="D529" s="181"/>
      <c r="E529" s="182"/>
      <c r="F529" s="182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  <c r="AC529" s="181"/>
      <c r="AD529" s="181"/>
      <c r="AE529" s="181"/>
      <c r="AF529" s="181"/>
      <c r="AG529" s="181"/>
      <c r="AH529" s="181"/>
      <c r="AI529" s="181"/>
      <c r="AJ529" s="181"/>
      <c r="AK529" s="181"/>
      <c r="AL529" s="181"/>
      <c r="AM529" s="181"/>
      <c r="AN529" s="181"/>
      <c r="AO529" s="181"/>
      <c r="AP529" s="181"/>
      <c r="AQ529" s="181"/>
      <c r="AR529" s="181"/>
      <c r="AS529" s="181"/>
      <c r="AT529" s="181"/>
      <c r="AU529" s="181"/>
      <c r="AV529" s="181"/>
      <c r="AW529" s="181"/>
    </row>
    <row r="530" spans="1:49" ht="13.5" customHeight="1" x14ac:dyDescent="0.3">
      <c r="A530" s="1"/>
      <c r="B530" s="181"/>
      <c r="C530" s="181"/>
      <c r="D530" s="181"/>
      <c r="E530" s="182"/>
      <c r="F530" s="182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  <c r="AC530" s="181"/>
      <c r="AD530" s="181"/>
      <c r="AE530" s="181"/>
      <c r="AF530" s="181"/>
      <c r="AG530" s="181"/>
      <c r="AH530" s="181"/>
      <c r="AI530" s="181"/>
      <c r="AJ530" s="181"/>
      <c r="AK530" s="181"/>
      <c r="AL530" s="181"/>
      <c r="AM530" s="181"/>
      <c r="AN530" s="181"/>
      <c r="AO530" s="181"/>
      <c r="AP530" s="181"/>
      <c r="AQ530" s="181"/>
      <c r="AR530" s="181"/>
      <c r="AS530" s="181"/>
      <c r="AT530" s="181"/>
      <c r="AU530" s="181"/>
      <c r="AV530" s="181"/>
      <c r="AW530" s="181"/>
    </row>
    <row r="531" spans="1:49" ht="13.5" customHeight="1" x14ac:dyDescent="0.3">
      <c r="A531" s="1"/>
      <c r="B531" s="181"/>
      <c r="C531" s="181"/>
      <c r="D531" s="181"/>
      <c r="E531" s="182"/>
      <c r="F531" s="182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  <c r="AC531" s="181"/>
      <c r="AD531" s="181"/>
      <c r="AE531" s="181"/>
      <c r="AF531" s="181"/>
      <c r="AG531" s="181"/>
      <c r="AH531" s="181"/>
      <c r="AI531" s="181"/>
      <c r="AJ531" s="181"/>
      <c r="AK531" s="181"/>
      <c r="AL531" s="181"/>
      <c r="AM531" s="181"/>
      <c r="AN531" s="181"/>
      <c r="AO531" s="181"/>
      <c r="AP531" s="181"/>
      <c r="AQ531" s="181"/>
      <c r="AR531" s="181"/>
      <c r="AS531" s="181"/>
      <c r="AT531" s="181"/>
      <c r="AU531" s="181"/>
      <c r="AV531" s="181"/>
      <c r="AW531" s="181"/>
    </row>
    <row r="532" spans="1:49" ht="13.5" customHeight="1" x14ac:dyDescent="0.3">
      <c r="A532" s="1"/>
      <c r="B532" s="181"/>
      <c r="C532" s="181"/>
      <c r="D532" s="181"/>
      <c r="E532" s="182"/>
      <c r="F532" s="182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  <c r="AC532" s="181"/>
      <c r="AD532" s="181"/>
      <c r="AE532" s="181"/>
      <c r="AF532" s="181"/>
      <c r="AG532" s="181"/>
      <c r="AH532" s="181"/>
      <c r="AI532" s="181"/>
      <c r="AJ532" s="181"/>
      <c r="AK532" s="181"/>
      <c r="AL532" s="181"/>
      <c r="AM532" s="181"/>
      <c r="AN532" s="181"/>
      <c r="AO532" s="181"/>
      <c r="AP532" s="181"/>
      <c r="AQ532" s="181"/>
      <c r="AR532" s="181"/>
      <c r="AS532" s="181"/>
      <c r="AT532" s="181"/>
      <c r="AU532" s="181"/>
      <c r="AV532" s="181"/>
      <c r="AW532" s="181"/>
    </row>
    <row r="533" spans="1:49" ht="13.5" customHeight="1" x14ac:dyDescent="0.3">
      <c r="A533" s="1"/>
      <c r="B533" s="181"/>
      <c r="C533" s="181"/>
      <c r="D533" s="181"/>
      <c r="E533" s="182"/>
      <c r="F533" s="182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  <c r="AC533" s="181"/>
      <c r="AD533" s="181"/>
      <c r="AE533" s="181"/>
      <c r="AF533" s="181"/>
      <c r="AG533" s="181"/>
      <c r="AH533" s="181"/>
      <c r="AI533" s="181"/>
      <c r="AJ533" s="181"/>
      <c r="AK533" s="181"/>
      <c r="AL533" s="181"/>
      <c r="AM533" s="181"/>
      <c r="AN533" s="181"/>
      <c r="AO533" s="181"/>
      <c r="AP533" s="181"/>
      <c r="AQ533" s="181"/>
      <c r="AR533" s="181"/>
      <c r="AS533" s="181"/>
      <c r="AT533" s="181"/>
      <c r="AU533" s="181"/>
      <c r="AV533" s="181"/>
      <c r="AW533" s="181"/>
    </row>
    <row r="534" spans="1:49" ht="13.5" customHeight="1" x14ac:dyDescent="0.3">
      <c r="A534" s="1"/>
      <c r="B534" s="181"/>
      <c r="C534" s="181"/>
      <c r="D534" s="181"/>
      <c r="E534" s="182"/>
      <c r="F534" s="182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  <c r="AC534" s="181"/>
      <c r="AD534" s="181"/>
      <c r="AE534" s="181"/>
      <c r="AF534" s="181"/>
      <c r="AG534" s="181"/>
      <c r="AH534" s="181"/>
      <c r="AI534" s="181"/>
      <c r="AJ534" s="181"/>
      <c r="AK534" s="181"/>
      <c r="AL534" s="181"/>
      <c r="AM534" s="181"/>
      <c r="AN534" s="181"/>
      <c r="AO534" s="181"/>
      <c r="AP534" s="181"/>
      <c r="AQ534" s="181"/>
      <c r="AR534" s="181"/>
      <c r="AS534" s="181"/>
      <c r="AT534" s="181"/>
      <c r="AU534" s="181"/>
      <c r="AV534" s="181"/>
      <c r="AW534" s="181"/>
    </row>
    <row r="535" spans="1:49" ht="13.5" customHeight="1" x14ac:dyDescent="0.3">
      <c r="A535" s="1"/>
      <c r="B535" s="181"/>
      <c r="C535" s="181"/>
      <c r="D535" s="181"/>
      <c r="E535" s="182"/>
      <c r="F535" s="182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  <c r="AC535" s="181"/>
      <c r="AD535" s="181"/>
      <c r="AE535" s="181"/>
      <c r="AF535" s="181"/>
      <c r="AG535" s="181"/>
      <c r="AH535" s="181"/>
      <c r="AI535" s="181"/>
      <c r="AJ535" s="181"/>
      <c r="AK535" s="181"/>
      <c r="AL535" s="181"/>
      <c r="AM535" s="181"/>
      <c r="AN535" s="181"/>
      <c r="AO535" s="181"/>
      <c r="AP535" s="181"/>
      <c r="AQ535" s="181"/>
      <c r="AR535" s="181"/>
      <c r="AS535" s="181"/>
      <c r="AT535" s="181"/>
      <c r="AU535" s="181"/>
      <c r="AV535" s="181"/>
      <c r="AW535" s="181"/>
    </row>
    <row r="536" spans="1:49" ht="13.5" customHeight="1" x14ac:dyDescent="0.3">
      <c r="A536" s="1"/>
      <c r="B536" s="181"/>
      <c r="C536" s="181"/>
      <c r="D536" s="181"/>
      <c r="E536" s="182"/>
      <c r="F536" s="182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  <c r="AC536" s="181"/>
      <c r="AD536" s="181"/>
      <c r="AE536" s="181"/>
      <c r="AF536" s="181"/>
      <c r="AG536" s="181"/>
      <c r="AH536" s="181"/>
      <c r="AI536" s="181"/>
      <c r="AJ536" s="181"/>
      <c r="AK536" s="181"/>
      <c r="AL536" s="181"/>
      <c r="AM536" s="181"/>
      <c r="AN536" s="181"/>
      <c r="AO536" s="181"/>
      <c r="AP536" s="181"/>
      <c r="AQ536" s="181"/>
      <c r="AR536" s="181"/>
      <c r="AS536" s="181"/>
      <c r="AT536" s="181"/>
      <c r="AU536" s="181"/>
      <c r="AV536" s="181"/>
      <c r="AW536" s="181"/>
    </row>
    <row r="537" spans="1:49" ht="13.5" customHeight="1" x14ac:dyDescent="0.3">
      <c r="A537" s="1"/>
      <c r="B537" s="181"/>
      <c r="C537" s="181"/>
      <c r="D537" s="181"/>
      <c r="E537" s="182"/>
      <c r="F537" s="182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  <c r="AC537" s="181"/>
      <c r="AD537" s="181"/>
      <c r="AE537" s="181"/>
      <c r="AF537" s="181"/>
      <c r="AG537" s="181"/>
      <c r="AH537" s="181"/>
      <c r="AI537" s="181"/>
      <c r="AJ537" s="181"/>
      <c r="AK537" s="181"/>
      <c r="AL537" s="181"/>
      <c r="AM537" s="181"/>
      <c r="AN537" s="181"/>
      <c r="AO537" s="181"/>
      <c r="AP537" s="181"/>
      <c r="AQ537" s="181"/>
      <c r="AR537" s="181"/>
      <c r="AS537" s="181"/>
      <c r="AT537" s="181"/>
      <c r="AU537" s="181"/>
      <c r="AV537" s="181"/>
      <c r="AW537" s="181"/>
    </row>
    <row r="538" spans="1:49" ht="13.5" customHeight="1" x14ac:dyDescent="0.3">
      <c r="A538" s="1"/>
      <c r="B538" s="181"/>
      <c r="C538" s="181"/>
      <c r="D538" s="181"/>
      <c r="E538" s="182"/>
      <c r="F538" s="182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  <c r="AC538" s="181"/>
      <c r="AD538" s="181"/>
      <c r="AE538" s="181"/>
      <c r="AF538" s="181"/>
      <c r="AG538" s="181"/>
      <c r="AH538" s="181"/>
      <c r="AI538" s="181"/>
      <c r="AJ538" s="181"/>
      <c r="AK538" s="181"/>
      <c r="AL538" s="181"/>
      <c r="AM538" s="181"/>
      <c r="AN538" s="181"/>
      <c r="AO538" s="181"/>
      <c r="AP538" s="181"/>
      <c r="AQ538" s="181"/>
      <c r="AR538" s="181"/>
      <c r="AS538" s="181"/>
      <c r="AT538" s="181"/>
      <c r="AU538" s="181"/>
      <c r="AV538" s="181"/>
      <c r="AW538" s="181"/>
    </row>
    <row r="539" spans="1:49" ht="13.5" customHeight="1" x14ac:dyDescent="0.3">
      <c r="A539" s="1"/>
      <c r="B539" s="181"/>
      <c r="C539" s="181"/>
      <c r="D539" s="181"/>
      <c r="E539" s="182"/>
      <c r="F539" s="182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  <c r="AC539" s="181"/>
      <c r="AD539" s="181"/>
      <c r="AE539" s="181"/>
      <c r="AF539" s="181"/>
      <c r="AG539" s="181"/>
      <c r="AH539" s="181"/>
      <c r="AI539" s="181"/>
      <c r="AJ539" s="181"/>
      <c r="AK539" s="181"/>
      <c r="AL539" s="181"/>
      <c r="AM539" s="181"/>
      <c r="AN539" s="181"/>
      <c r="AO539" s="181"/>
      <c r="AP539" s="181"/>
      <c r="AQ539" s="181"/>
      <c r="AR539" s="181"/>
      <c r="AS539" s="181"/>
      <c r="AT539" s="181"/>
      <c r="AU539" s="181"/>
      <c r="AV539" s="181"/>
      <c r="AW539" s="181"/>
    </row>
    <row r="540" spans="1:49" ht="13.5" customHeight="1" x14ac:dyDescent="0.3">
      <c r="A540" s="1"/>
      <c r="B540" s="181"/>
      <c r="C540" s="181"/>
      <c r="D540" s="181"/>
      <c r="E540" s="182"/>
      <c r="F540" s="182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  <c r="AC540" s="181"/>
      <c r="AD540" s="181"/>
      <c r="AE540" s="181"/>
      <c r="AF540" s="181"/>
      <c r="AG540" s="181"/>
      <c r="AH540" s="181"/>
      <c r="AI540" s="181"/>
      <c r="AJ540" s="181"/>
      <c r="AK540" s="181"/>
      <c r="AL540" s="181"/>
      <c r="AM540" s="181"/>
      <c r="AN540" s="181"/>
      <c r="AO540" s="181"/>
      <c r="AP540" s="181"/>
      <c r="AQ540" s="181"/>
      <c r="AR540" s="181"/>
      <c r="AS540" s="181"/>
      <c r="AT540" s="181"/>
      <c r="AU540" s="181"/>
      <c r="AV540" s="181"/>
      <c r="AW540" s="181"/>
    </row>
    <row r="541" spans="1:49" ht="13.5" customHeight="1" x14ac:dyDescent="0.3">
      <c r="A541" s="1"/>
      <c r="B541" s="181"/>
      <c r="C541" s="181"/>
      <c r="D541" s="181"/>
      <c r="E541" s="182"/>
      <c r="F541" s="182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  <c r="AC541" s="181"/>
      <c r="AD541" s="181"/>
      <c r="AE541" s="181"/>
      <c r="AF541" s="181"/>
      <c r="AG541" s="181"/>
      <c r="AH541" s="181"/>
      <c r="AI541" s="181"/>
      <c r="AJ541" s="181"/>
      <c r="AK541" s="181"/>
      <c r="AL541" s="181"/>
      <c r="AM541" s="181"/>
      <c r="AN541" s="181"/>
      <c r="AO541" s="181"/>
      <c r="AP541" s="181"/>
      <c r="AQ541" s="181"/>
      <c r="AR541" s="181"/>
      <c r="AS541" s="181"/>
      <c r="AT541" s="181"/>
      <c r="AU541" s="181"/>
      <c r="AV541" s="181"/>
      <c r="AW541" s="181"/>
    </row>
    <row r="542" spans="1:49" ht="13.5" customHeight="1" x14ac:dyDescent="0.3">
      <c r="A542" s="1"/>
      <c r="B542" s="181"/>
      <c r="C542" s="181"/>
      <c r="D542" s="181"/>
      <c r="E542" s="182"/>
      <c r="F542" s="182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  <c r="AC542" s="181"/>
      <c r="AD542" s="181"/>
      <c r="AE542" s="181"/>
      <c r="AF542" s="181"/>
      <c r="AG542" s="181"/>
      <c r="AH542" s="181"/>
      <c r="AI542" s="181"/>
      <c r="AJ542" s="181"/>
      <c r="AK542" s="181"/>
      <c r="AL542" s="181"/>
      <c r="AM542" s="181"/>
      <c r="AN542" s="181"/>
      <c r="AO542" s="181"/>
      <c r="AP542" s="181"/>
      <c r="AQ542" s="181"/>
      <c r="AR542" s="181"/>
      <c r="AS542" s="181"/>
      <c r="AT542" s="181"/>
      <c r="AU542" s="181"/>
      <c r="AV542" s="181"/>
      <c r="AW542" s="181"/>
    </row>
    <row r="543" spans="1:49" ht="13.5" customHeight="1" x14ac:dyDescent="0.3">
      <c r="A543" s="1"/>
      <c r="B543" s="181"/>
      <c r="C543" s="181"/>
      <c r="D543" s="181"/>
      <c r="E543" s="182"/>
      <c r="F543" s="182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  <c r="AC543" s="181"/>
      <c r="AD543" s="181"/>
      <c r="AE543" s="181"/>
      <c r="AF543" s="181"/>
      <c r="AG543" s="181"/>
      <c r="AH543" s="181"/>
      <c r="AI543" s="181"/>
      <c r="AJ543" s="181"/>
      <c r="AK543" s="181"/>
      <c r="AL543" s="181"/>
      <c r="AM543" s="181"/>
      <c r="AN543" s="181"/>
      <c r="AO543" s="181"/>
      <c r="AP543" s="181"/>
      <c r="AQ543" s="181"/>
      <c r="AR543" s="181"/>
      <c r="AS543" s="181"/>
      <c r="AT543" s="181"/>
      <c r="AU543" s="181"/>
      <c r="AV543" s="181"/>
      <c r="AW543" s="181"/>
    </row>
    <row r="544" spans="1:49" ht="13.5" customHeight="1" x14ac:dyDescent="0.3">
      <c r="A544" s="1"/>
      <c r="B544" s="181"/>
      <c r="C544" s="181"/>
      <c r="D544" s="181"/>
      <c r="E544" s="182"/>
      <c r="F544" s="182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  <c r="AC544" s="181"/>
      <c r="AD544" s="181"/>
      <c r="AE544" s="181"/>
      <c r="AF544" s="181"/>
      <c r="AG544" s="181"/>
      <c r="AH544" s="181"/>
      <c r="AI544" s="181"/>
      <c r="AJ544" s="181"/>
      <c r="AK544" s="181"/>
      <c r="AL544" s="181"/>
      <c r="AM544" s="181"/>
      <c r="AN544" s="181"/>
      <c r="AO544" s="181"/>
      <c r="AP544" s="181"/>
      <c r="AQ544" s="181"/>
      <c r="AR544" s="181"/>
      <c r="AS544" s="181"/>
      <c r="AT544" s="181"/>
      <c r="AU544" s="181"/>
      <c r="AV544" s="181"/>
      <c r="AW544" s="181"/>
    </row>
    <row r="545" spans="1:49" ht="13.5" customHeight="1" x14ac:dyDescent="0.3">
      <c r="A545" s="1"/>
      <c r="B545" s="181"/>
      <c r="C545" s="181"/>
      <c r="D545" s="181"/>
      <c r="E545" s="182"/>
      <c r="F545" s="182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  <c r="AC545" s="181"/>
      <c r="AD545" s="181"/>
      <c r="AE545" s="181"/>
      <c r="AF545" s="181"/>
      <c r="AG545" s="181"/>
      <c r="AH545" s="181"/>
      <c r="AI545" s="181"/>
      <c r="AJ545" s="181"/>
      <c r="AK545" s="181"/>
      <c r="AL545" s="181"/>
      <c r="AM545" s="181"/>
      <c r="AN545" s="181"/>
      <c r="AO545" s="181"/>
      <c r="AP545" s="181"/>
      <c r="AQ545" s="181"/>
      <c r="AR545" s="181"/>
      <c r="AS545" s="181"/>
      <c r="AT545" s="181"/>
      <c r="AU545" s="181"/>
      <c r="AV545" s="181"/>
      <c r="AW545" s="181"/>
    </row>
    <row r="546" spans="1:49" ht="13.5" customHeight="1" x14ac:dyDescent="0.3">
      <c r="A546" s="1"/>
      <c r="B546" s="181"/>
      <c r="C546" s="181"/>
      <c r="D546" s="181"/>
      <c r="E546" s="182"/>
      <c r="F546" s="182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  <c r="AC546" s="181"/>
      <c r="AD546" s="181"/>
      <c r="AE546" s="181"/>
      <c r="AF546" s="181"/>
      <c r="AG546" s="181"/>
      <c r="AH546" s="181"/>
      <c r="AI546" s="181"/>
      <c r="AJ546" s="181"/>
      <c r="AK546" s="181"/>
      <c r="AL546" s="181"/>
      <c r="AM546" s="181"/>
      <c r="AN546" s="181"/>
      <c r="AO546" s="181"/>
      <c r="AP546" s="181"/>
      <c r="AQ546" s="181"/>
      <c r="AR546" s="181"/>
      <c r="AS546" s="181"/>
      <c r="AT546" s="181"/>
      <c r="AU546" s="181"/>
      <c r="AV546" s="181"/>
      <c r="AW546" s="181"/>
    </row>
    <row r="547" spans="1:49" ht="13.5" customHeight="1" x14ac:dyDescent="0.3">
      <c r="A547" s="1"/>
      <c r="B547" s="181"/>
      <c r="C547" s="181"/>
      <c r="D547" s="181"/>
      <c r="E547" s="182"/>
      <c r="F547" s="182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  <c r="AC547" s="181"/>
      <c r="AD547" s="181"/>
      <c r="AE547" s="181"/>
      <c r="AF547" s="181"/>
      <c r="AG547" s="181"/>
      <c r="AH547" s="181"/>
      <c r="AI547" s="181"/>
      <c r="AJ547" s="181"/>
      <c r="AK547" s="181"/>
      <c r="AL547" s="181"/>
      <c r="AM547" s="181"/>
      <c r="AN547" s="181"/>
      <c r="AO547" s="181"/>
      <c r="AP547" s="181"/>
      <c r="AQ547" s="181"/>
      <c r="AR547" s="181"/>
      <c r="AS547" s="181"/>
      <c r="AT547" s="181"/>
      <c r="AU547" s="181"/>
      <c r="AV547" s="181"/>
      <c r="AW547" s="181"/>
    </row>
    <row r="548" spans="1:49" ht="13.5" customHeight="1" x14ac:dyDescent="0.3">
      <c r="A548" s="1"/>
      <c r="B548" s="181"/>
      <c r="C548" s="181"/>
      <c r="D548" s="181"/>
      <c r="E548" s="182"/>
      <c r="F548" s="182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  <c r="AC548" s="181"/>
      <c r="AD548" s="181"/>
      <c r="AE548" s="181"/>
      <c r="AF548" s="181"/>
      <c r="AG548" s="181"/>
      <c r="AH548" s="181"/>
      <c r="AI548" s="181"/>
      <c r="AJ548" s="181"/>
      <c r="AK548" s="181"/>
      <c r="AL548" s="181"/>
      <c r="AM548" s="181"/>
      <c r="AN548" s="181"/>
      <c r="AO548" s="181"/>
      <c r="AP548" s="181"/>
      <c r="AQ548" s="181"/>
      <c r="AR548" s="181"/>
      <c r="AS548" s="181"/>
      <c r="AT548" s="181"/>
      <c r="AU548" s="181"/>
      <c r="AV548" s="181"/>
      <c r="AW548" s="181"/>
    </row>
    <row r="549" spans="1:49" ht="13.5" customHeight="1" x14ac:dyDescent="0.3">
      <c r="A549" s="1"/>
      <c r="B549" s="181"/>
      <c r="C549" s="181"/>
      <c r="D549" s="181"/>
      <c r="E549" s="182"/>
      <c r="F549" s="182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  <c r="AC549" s="181"/>
      <c r="AD549" s="181"/>
      <c r="AE549" s="181"/>
      <c r="AF549" s="181"/>
      <c r="AG549" s="181"/>
      <c r="AH549" s="181"/>
      <c r="AI549" s="181"/>
      <c r="AJ549" s="181"/>
      <c r="AK549" s="181"/>
      <c r="AL549" s="181"/>
      <c r="AM549" s="181"/>
      <c r="AN549" s="181"/>
      <c r="AO549" s="181"/>
      <c r="AP549" s="181"/>
      <c r="AQ549" s="181"/>
      <c r="AR549" s="181"/>
      <c r="AS549" s="181"/>
      <c r="AT549" s="181"/>
      <c r="AU549" s="181"/>
      <c r="AV549" s="181"/>
      <c r="AW549" s="181"/>
    </row>
    <row r="550" spans="1:49" ht="13.5" customHeight="1" x14ac:dyDescent="0.3">
      <c r="A550" s="1"/>
      <c r="B550" s="181"/>
      <c r="C550" s="181"/>
      <c r="D550" s="181"/>
      <c r="E550" s="182"/>
      <c r="F550" s="182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  <c r="AC550" s="181"/>
      <c r="AD550" s="181"/>
      <c r="AE550" s="181"/>
      <c r="AF550" s="181"/>
      <c r="AG550" s="181"/>
      <c r="AH550" s="181"/>
      <c r="AI550" s="181"/>
      <c r="AJ550" s="181"/>
      <c r="AK550" s="181"/>
      <c r="AL550" s="181"/>
      <c r="AM550" s="181"/>
      <c r="AN550" s="181"/>
      <c r="AO550" s="181"/>
      <c r="AP550" s="181"/>
      <c r="AQ550" s="181"/>
      <c r="AR550" s="181"/>
      <c r="AS550" s="181"/>
      <c r="AT550" s="181"/>
      <c r="AU550" s="181"/>
      <c r="AV550" s="181"/>
      <c r="AW550" s="181"/>
    </row>
    <row r="551" spans="1:49" ht="13.5" customHeight="1" x14ac:dyDescent="0.3">
      <c r="A551" s="1"/>
      <c r="B551" s="181"/>
      <c r="C551" s="181"/>
      <c r="D551" s="181"/>
      <c r="E551" s="182"/>
      <c r="F551" s="182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  <c r="AC551" s="181"/>
      <c r="AD551" s="181"/>
      <c r="AE551" s="181"/>
      <c r="AF551" s="181"/>
      <c r="AG551" s="181"/>
      <c r="AH551" s="181"/>
      <c r="AI551" s="181"/>
      <c r="AJ551" s="181"/>
      <c r="AK551" s="181"/>
      <c r="AL551" s="181"/>
      <c r="AM551" s="181"/>
      <c r="AN551" s="181"/>
      <c r="AO551" s="181"/>
      <c r="AP551" s="181"/>
      <c r="AQ551" s="181"/>
      <c r="AR551" s="181"/>
      <c r="AS551" s="181"/>
      <c r="AT551" s="181"/>
      <c r="AU551" s="181"/>
      <c r="AV551" s="181"/>
      <c r="AW551" s="181"/>
    </row>
    <row r="552" spans="1:49" ht="13.5" customHeight="1" x14ac:dyDescent="0.3">
      <c r="A552" s="1"/>
      <c r="B552" s="181"/>
      <c r="C552" s="181"/>
      <c r="D552" s="181"/>
      <c r="E552" s="182"/>
      <c r="F552" s="182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  <c r="AC552" s="181"/>
      <c r="AD552" s="181"/>
      <c r="AE552" s="181"/>
      <c r="AF552" s="181"/>
      <c r="AG552" s="181"/>
      <c r="AH552" s="181"/>
      <c r="AI552" s="181"/>
      <c r="AJ552" s="181"/>
      <c r="AK552" s="181"/>
      <c r="AL552" s="181"/>
      <c r="AM552" s="181"/>
      <c r="AN552" s="181"/>
      <c r="AO552" s="181"/>
      <c r="AP552" s="181"/>
      <c r="AQ552" s="181"/>
      <c r="AR552" s="181"/>
      <c r="AS552" s="181"/>
      <c r="AT552" s="181"/>
      <c r="AU552" s="181"/>
      <c r="AV552" s="181"/>
      <c r="AW552" s="181"/>
    </row>
    <row r="553" spans="1:49" ht="13.5" customHeight="1" x14ac:dyDescent="0.3">
      <c r="A553" s="1"/>
      <c r="B553" s="181"/>
      <c r="C553" s="181"/>
      <c r="D553" s="181"/>
      <c r="E553" s="182"/>
      <c r="F553" s="182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  <c r="AC553" s="181"/>
      <c r="AD553" s="181"/>
      <c r="AE553" s="181"/>
      <c r="AF553" s="181"/>
      <c r="AG553" s="181"/>
      <c r="AH553" s="181"/>
      <c r="AI553" s="181"/>
      <c r="AJ553" s="181"/>
      <c r="AK553" s="181"/>
      <c r="AL553" s="181"/>
      <c r="AM553" s="181"/>
      <c r="AN553" s="181"/>
      <c r="AO553" s="181"/>
      <c r="AP553" s="181"/>
      <c r="AQ553" s="181"/>
      <c r="AR553" s="181"/>
      <c r="AS553" s="181"/>
      <c r="AT553" s="181"/>
      <c r="AU553" s="181"/>
      <c r="AV553" s="181"/>
      <c r="AW553" s="181"/>
    </row>
    <row r="554" spans="1:49" ht="13.5" customHeight="1" x14ac:dyDescent="0.3">
      <c r="A554" s="1"/>
      <c r="B554" s="181"/>
      <c r="C554" s="181"/>
      <c r="D554" s="181"/>
      <c r="E554" s="182"/>
      <c r="F554" s="182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  <c r="AC554" s="181"/>
      <c r="AD554" s="181"/>
      <c r="AE554" s="181"/>
      <c r="AF554" s="181"/>
      <c r="AG554" s="181"/>
      <c r="AH554" s="181"/>
      <c r="AI554" s="181"/>
      <c r="AJ554" s="181"/>
      <c r="AK554" s="181"/>
      <c r="AL554" s="181"/>
      <c r="AM554" s="181"/>
      <c r="AN554" s="181"/>
      <c r="AO554" s="181"/>
      <c r="AP554" s="181"/>
      <c r="AQ554" s="181"/>
      <c r="AR554" s="181"/>
      <c r="AS554" s="181"/>
      <c r="AT554" s="181"/>
      <c r="AU554" s="181"/>
      <c r="AV554" s="181"/>
      <c r="AW554" s="181"/>
    </row>
    <row r="555" spans="1:49" ht="13.5" customHeight="1" x14ac:dyDescent="0.3">
      <c r="A555" s="1"/>
      <c r="B555" s="181"/>
      <c r="C555" s="181"/>
      <c r="D555" s="181"/>
      <c r="E555" s="182"/>
      <c r="F555" s="182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  <c r="AC555" s="181"/>
      <c r="AD555" s="181"/>
      <c r="AE555" s="181"/>
      <c r="AF555" s="181"/>
      <c r="AG555" s="181"/>
      <c r="AH555" s="181"/>
      <c r="AI555" s="181"/>
      <c r="AJ555" s="181"/>
      <c r="AK555" s="181"/>
      <c r="AL555" s="181"/>
      <c r="AM555" s="181"/>
      <c r="AN555" s="181"/>
      <c r="AO555" s="181"/>
      <c r="AP555" s="181"/>
      <c r="AQ555" s="181"/>
      <c r="AR555" s="181"/>
      <c r="AS555" s="181"/>
      <c r="AT555" s="181"/>
      <c r="AU555" s="181"/>
      <c r="AV555" s="181"/>
      <c r="AW555" s="181"/>
    </row>
    <row r="556" spans="1:49" ht="13.5" customHeight="1" x14ac:dyDescent="0.3">
      <c r="A556" s="1"/>
      <c r="B556" s="181"/>
      <c r="C556" s="181"/>
      <c r="D556" s="181"/>
      <c r="E556" s="182"/>
      <c r="F556" s="182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  <c r="AC556" s="181"/>
      <c r="AD556" s="181"/>
      <c r="AE556" s="181"/>
      <c r="AF556" s="181"/>
      <c r="AG556" s="181"/>
      <c r="AH556" s="181"/>
      <c r="AI556" s="181"/>
      <c r="AJ556" s="181"/>
      <c r="AK556" s="181"/>
      <c r="AL556" s="181"/>
      <c r="AM556" s="181"/>
      <c r="AN556" s="181"/>
      <c r="AO556" s="181"/>
      <c r="AP556" s="181"/>
      <c r="AQ556" s="181"/>
      <c r="AR556" s="181"/>
      <c r="AS556" s="181"/>
      <c r="AT556" s="181"/>
      <c r="AU556" s="181"/>
      <c r="AV556" s="181"/>
      <c r="AW556" s="181"/>
    </row>
    <row r="557" spans="1:49" ht="13.5" customHeight="1" x14ac:dyDescent="0.3">
      <c r="A557" s="1"/>
      <c r="B557" s="181"/>
      <c r="C557" s="181"/>
      <c r="D557" s="181"/>
      <c r="E557" s="182"/>
      <c r="F557" s="182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  <c r="AC557" s="181"/>
      <c r="AD557" s="181"/>
      <c r="AE557" s="181"/>
      <c r="AF557" s="181"/>
      <c r="AG557" s="181"/>
      <c r="AH557" s="181"/>
      <c r="AI557" s="181"/>
      <c r="AJ557" s="181"/>
      <c r="AK557" s="181"/>
      <c r="AL557" s="181"/>
      <c r="AM557" s="181"/>
      <c r="AN557" s="181"/>
      <c r="AO557" s="181"/>
      <c r="AP557" s="181"/>
      <c r="AQ557" s="181"/>
      <c r="AR557" s="181"/>
      <c r="AS557" s="181"/>
      <c r="AT557" s="181"/>
      <c r="AU557" s="181"/>
      <c r="AV557" s="181"/>
      <c r="AW557" s="181"/>
    </row>
    <row r="558" spans="1:49" ht="13.5" customHeight="1" x14ac:dyDescent="0.3">
      <c r="A558" s="1"/>
      <c r="B558" s="181"/>
      <c r="C558" s="181"/>
      <c r="D558" s="181"/>
      <c r="E558" s="182"/>
      <c r="F558" s="182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  <c r="AC558" s="181"/>
      <c r="AD558" s="181"/>
      <c r="AE558" s="181"/>
      <c r="AF558" s="181"/>
      <c r="AG558" s="181"/>
      <c r="AH558" s="181"/>
      <c r="AI558" s="181"/>
      <c r="AJ558" s="181"/>
      <c r="AK558" s="181"/>
      <c r="AL558" s="181"/>
      <c r="AM558" s="181"/>
      <c r="AN558" s="181"/>
      <c r="AO558" s="181"/>
      <c r="AP558" s="181"/>
      <c r="AQ558" s="181"/>
      <c r="AR558" s="181"/>
      <c r="AS558" s="181"/>
      <c r="AT558" s="181"/>
      <c r="AU558" s="181"/>
      <c r="AV558" s="181"/>
      <c r="AW558" s="181"/>
    </row>
    <row r="559" spans="1:49" ht="13.5" customHeight="1" x14ac:dyDescent="0.3">
      <c r="A559" s="1"/>
      <c r="B559" s="181"/>
      <c r="C559" s="181"/>
      <c r="D559" s="181"/>
      <c r="E559" s="182"/>
      <c r="F559" s="182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  <c r="AC559" s="181"/>
      <c r="AD559" s="181"/>
      <c r="AE559" s="181"/>
      <c r="AF559" s="181"/>
      <c r="AG559" s="181"/>
      <c r="AH559" s="181"/>
      <c r="AI559" s="181"/>
      <c r="AJ559" s="181"/>
      <c r="AK559" s="181"/>
      <c r="AL559" s="181"/>
      <c r="AM559" s="181"/>
      <c r="AN559" s="181"/>
      <c r="AO559" s="181"/>
      <c r="AP559" s="181"/>
      <c r="AQ559" s="181"/>
      <c r="AR559" s="181"/>
      <c r="AS559" s="181"/>
      <c r="AT559" s="181"/>
      <c r="AU559" s="181"/>
      <c r="AV559" s="181"/>
      <c r="AW559" s="181"/>
    </row>
    <row r="560" spans="1:49" ht="13.5" customHeight="1" x14ac:dyDescent="0.3">
      <c r="A560" s="1"/>
      <c r="B560" s="181"/>
      <c r="C560" s="181"/>
      <c r="D560" s="181"/>
      <c r="E560" s="182"/>
      <c r="F560" s="182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  <c r="AC560" s="181"/>
      <c r="AD560" s="181"/>
      <c r="AE560" s="181"/>
      <c r="AF560" s="181"/>
      <c r="AG560" s="181"/>
      <c r="AH560" s="181"/>
      <c r="AI560" s="181"/>
      <c r="AJ560" s="181"/>
      <c r="AK560" s="181"/>
      <c r="AL560" s="181"/>
      <c r="AM560" s="181"/>
      <c r="AN560" s="181"/>
      <c r="AO560" s="181"/>
      <c r="AP560" s="181"/>
      <c r="AQ560" s="181"/>
      <c r="AR560" s="181"/>
      <c r="AS560" s="181"/>
      <c r="AT560" s="181"/>
      <c r="AU560" s="181"/>
      <c r="AV560" s="181"/>
      <c r="AW560" s="181"/>
    </row>
    <row r="561" spans="1:49" ht="13.5" customHeight="1" x14ac:dyDescent="0.3">
      <c r="A561" s="1"/>
      <c r="B561" s="181"/>
      <c r="C561" s="181"/>
      <c r="D561" s="181"/>
      <c r="E561" s="182"/>
      <c r="F561" s="182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  <c r="AC561" s="181"/>
      <c r="AD561" s="181"/>
      <c r="AE561" s="181"/>
      <c r="AF561" s="181"/>
      <c r="AG561" s="181"/>
      <c r="AH561" s="181"/>
      <c r="AI561" s="181"/>
      <c r="AJ561" s="181"/>
      <c r="AK561" s="181"/>
      <c r="AL561" s="181"/>
      <c r="AM561" s="181"/>
      <c r="AN561" s="181"/>
      <c r="AO561" s="181"/>
      <c r="AP561" s="181"/>
      <c r="AQ561" s="181"/>
      <c r="AR561" s="181"/>
      <c r="AS561" s="181"/>
      <c r="AT561" s="181"/>
      <c r="AU561" s="181"/>
      <c r="AV561" s="181"/>
      <c r="AW561" s="181"/>
    </row>
    <row r="562" spans="1:49" ht="13.5" customHeight="1" x14ac:dyDescent="0.3">
      <c r="A562" s="1"/>
      <c r="B562" s="181"/>
      <c r="C562" s="181"/>
      <c r="D562" s="181"/>
      <c r="E562" s="182"/>
      <c r="F562" s="182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  <c r="AC562" s="181"/>
      <c r="AD562" s="181"/>
      <c r="AE562" s="181"/>
      <c r="AF562" s="181"/>
      <c r="AG562" s="181"/>
      <c r="AH562" s="181"/>
      <c r="AI562" s="181"/>
      <c r="AJ562" s="181"/>
      <c r="AK562" s="181"/>
      <c r="AL562" s="181"/>
      <c r="AM562" s="181"/>
      <c r="AN562" s="181"/>
      <c r="AO562" s="181"/>
      <c r="AP562" s="181"/>
      <c r="AQ562" s="181"/>
      <c r="AR562" s="181"/>
      <c r="AS562" s="181"/>
      <c r="AT562" s="181"/>
      <c r="AU562" s="181"/>
      <c r="AV562" s="181"/>
      <c r="AW562" s="181"/>
    </row>
    <row r="563" spans="1:49" ht="13.5" customHeight="1" x14ac:dyDescent="0.3">
      <c r="A563" s="1"/>
      <c r="B563" s="181"/>
      <c r="C563" s="181"/>
      <c r="D563" s="181"/>
      <c r="E563" s="182"/>
      <c r="F563" s="182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  <c r="AC563" s="181"/>
      <c r="AD563" s="181"/>
      <c r="AE563" s="181"/>
      <c r="AF563" s="181"/>
      <c r="AG563" s="181"/>
      <c r="AH563" s="181"/>
      <c r="AI563" s="181"/>
      <c r="AJ563" s="181"/>
      <c r="AK563" s="181"/>
      <c r="AL563" s="181"/>
      <c r="AM563" s="181"/>
      <c r="AN563" s="181"/>
      <c r="AO563" s="181"/>
      <c r="AP563" s="181"/>
      <c r="AQ563" s="181"/>
      <c r="AR563" s="181"/>
      <c r="AS563" s="181"/>
      <c r="AT563" s="181"/>
      <c r="AU563" s="181"/>
      <c r="AV563" s="181"/>
      <c r="AW563" s="181"/>
    </row>
    <row r="564" spans="1:49" ht="13.5" customHeight="1" x14ac:dyDescent="0.3">
      <c r="A564" s="1"/>
      <c r="B564" s="181"/>
      <c r="C564" s="181"/>
      <c r="D564" s="181"/>
      <c r="E564" s="182"/>
      <c r="F564" s="182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  <c r="AC564" s="181"/>
      <c r="AD564" s="181"/>
      <c r="AE564" s="181"/>
      <c r="AF564" s="181"/>
      <c r="AG564" s="181"/>
      <c r="AH564" s="181"/>
      <c r="AI564" s="181"/>
      <c r="AJ564" s="181"/>
      <c r="AK564" s="181"/>
      <c r="AL564" s="181"/>
      <c r="AM564" s="181"/>
      <c r="AN564" s="181"/>
      <c r="AO564" s="181"/>
      <c r="AP564" s="181"/>
      <c r="AQ564" s="181"/>
      <c r="AR564" s="181"/>
      <c r="AS564" s="181"/>
      <c r="AT564" s="181"/>
      <c r="AU564" s="181"/>
      <c r="AV564" s="181"/>
      <c r="AW564" s="181"/>
    </row>
    <row r="565" spans="1:49" ht="13.5" customHeight="1" x14ac:dyDescent="0.3">
      <c r="A565" s="1"/>
      <c r="B565" s="181"/>
      <c r="C565" s="181"/>
      <c r="D565" s="181"/>
      <c r="E565" s="182"/>
      <c r="F565" s="182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  <c r="AC565" s="181"/>
      <c r="AD565" s="181"/>
      <c r="AE565" s="181"/>
      <c r="AF565" s="181"/>
      <c r="AG565" s="181"/>
      <c r="AH565" s="181"/>
      <c r="AI565" s="181"/>
      <c r="AJ565" s="181"/>
      <c r="AK565" s="181"/>
      <c r="AL565" s="181"/>
      <c r="AM565" s="181"/>
      <c r="AN565" s="181"/>
      <c r="AO565" s="181"/>
      <c r="AP565" s="181"/>
      <c r="AQ565" s="181"/>
      <c r="AR565" s="181"/>
      <c r="AS565" s="181"/>
      <c r="AT565" s="181"/>
      <c r="AU565" s="181"/>
      <c r="AV565" s="181"/>
      <c r="AW565" s="181"/>
    </row>
    <row r="566" spans="1:49" ht="13.5" customHeight="1" x14ac:dyDescent="0.3">
      <c r="A566" s="1"/>
      <c r="B566" s="181"/>
      <c r="C566" s="181"/>
      <c r="D566" s="181"/>
      <c r="E566" s="182"/>
      <c r="F566" s="182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  <c r="AC566" s="181"/>
      <c r="AD566" s="181"/>
      <c r="AE566" s="181"/>
      <c r="AF566" s="181"/>
      <c r="AG566" s="181"/>
      <c r="AH566" s="181"/>
      <c r="AI566" s="181"/>
      <c r="AJ566" s="181"/>
      <c r="AK566" s="181"/>
      <c r="AL566" s="181"/>
      <c r="AM566" s="181"/>
      <c r="AN566" s="181"/>
      <c r="AO566" s="181"/>
      <c r="AP566" s="181"/>
      <c r="AQ566" s="181"/>
      <c r="AR566" s="181"/>
      <c r="AS566" s="181"/>
      <c r="AT566" s="181"/>
      <c r="AU566" s="181"/>
      <c r="AV566" s="181"/>
      <c r="AW566" s="181"/>
    </row>
    <row r="567" spans="1:49" ht="13.5" customHeight="1" x14ac:dyDescent="0.3">
      <c r="A567" s="1"/>
      <c r="B567" s="181"/>
      <c r="C567" s="181"/>
      <c r="D567" s="181"/>
      <c r="E567" s="182"/>
      <c r="F567" s="182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  <c r="AC567" s="181"/>
      <c r="AD567" s="181"/>
      <c r="AE567" s="181"/>
      <c r="AF567" s="181"/>
      <c r="AG567" s="181"/>
      <c r="AH567" s="181"/>
      <c r="AI567" s="181"/>
      <c r="AJ567" s="181"/>
      <c r="AK567" s="181"/>
      <c r="AL567" s="181"/>
      <c r="AM567" s="181"/>
      <c r="AN567" s="181"/>
      <c r="AO567" s="181"/>
      <c r="AP567" s="181"/>
      <c r="AQ567" s="181"/>
      <c r="AR567" s="181"/>
      <c r="AS567" s="181"/>
      <c r="AT567" s="181"/>
      <c r="AU567" s="181"/>
      <c r="AV567" s="181"/>
      <c r="AW567" s="181"/>
    </row>
    <row r="568" spans="1:49" ht="13.5" customHeight="1" x14ac:dyDescent="0.3">
      <c r="A568" s="1"/>
      <c r="B568" s="181"/>
      <c r="C568" s="181"/>
      <c r="D568" s="181"/>
      <c r="E568" s="182"/>
      <c r="F568" s="182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  <c r="AC568" s="181"/>
      <c r="AD568" s="181"/>
      <c r="AE568" s="181"/>
      <c r="AF568" s="181"/>
      <c r="AG568" s="181"/>
      <c r="AH568" s="181"/>
      <c r="AI568" s="181"/>
      <c r="AJ568" s="181"/>
      <c r="AK568" s="181"/>
      <c r="AL568" s="181"/>
      <c r="AM568" s="181"/>
      <c r="AN568" s="181"/>
      <c r="AO568" s="181"/>
      <c r="AP568" s="181"/>
      <c r="AQ568" s="181"/>
      <c r="AR568" s="181"/>
      <c r="AS568" s="181"/>
      <c r="AT568" s="181"/>
      <c r="AU568" s="181"/>
      <c r="AV568" s="181"/>
      <c r="AW568" s="181"/>
    </row>
    <row r="569" spans="1:49" ht="13.5" customHeight="1" x14ac:dyDescent="0.3">
      <c r="A569" s="1"/>
      <c r="B569" s="181"/>
      <c r="C569" s="181"/>
      <c r="D569" s="181"/>
      <c r="E569" s="182"/>
      <c r="F569" s="182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  <c r="AC569" s="181"/>
      <c r="AD569" s="181"/>
      <c r="AE569" s="181"/>
      <c r="AF569" s="181"/>
      <c r="AG569" s="181"/>
      <c r="AH569" s="181"/>
      <c r="AI569" s="181"/>
      <c r="AJ569" s="181"/>
      <c r="AK569" s="181"/>
      <c r="AL569" s="181"/>
      <c r="AM569" s="181"/>
      <c r="AN569" s="181"/>
      <c r="AO569" s="181"/>
      <c r="AP569" s="181"/>
      <c r="AQ569" s="181"/>
      <c r="AR569" s="181"/>
      <c r="AS569" s="181"/>
      <c r="AT569" s="181"/>
      <c r="AU569" s="181"/>
      <c r="AV569" s="181"/>
      <c r="AW569" s="181"/>
    </row>
    <row r="570" spans="1:49" ht="13.5" customHeight="1" x14ac:dyDescent="0.3">
      <c r="A570" s="1"/>
      <c r="B570" s="181"/>
      <c r="C570" s="181"/>
      <c r="D570" s="181"/>
      <c r="E570" s="182"/>
      <c r="F570" s="182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  <c r="AC570" s="181"/>
      <c r="AD570" s="181"/>
      <c r="AE570" s="181"/>
      <c r="AF570" s="181"/>
      <c r="AG570" s="181"/>
      <c r="AH570" s="181"/>
      <c r="AI570" s="181"/>
      <c r="AJ570" s="181"/>
      <c r="AK570" s="181"/>
      <c r="AL570" s="181"/>
      <c r="AM570" s="181"/>
      <c r="AN570" s="181"/>
      <c r="AO570" s="181"/>
      <c r="AP570" s="181"/>
      <c r="AQ570" s="181"/>
      <c r="AR570" s="181"/>
      <c r="AS570" s="181"/>
      <c r="AT570" s="181"/>
      <c r="AU570" s="181"/>
      <c r="AV570" s="181"/>
      <c r="AW570" s="181"/>
    </row>
    <row r="571" spans="1:49" ht="13.5" customHeight="1" x14ac:dyDescent="0.3">
      <c r="A571" s="1"/>
      <c r="B571" s="181"/>
      <c r="C571" s="181"/>
      <c r="D571" s="181"/>
      <c r="E571" s="182"/>
      <c r="F571" s="182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  <c r="AC571" s="181"/>
      <c r="AD571" s="181"/>
      <c r="AE571" s="181"/>
      <c r="AF571" s="181"/>
      <c r="AG571" s="181"/>
      <c r="AH571" s="181"/>
      <c r="AI571" s="181"/>
      <c r="AJ571" s="181"/>
      <c r="AK571" s="181"/>
      <c r="AL571" s="181"/>
      <c r="AM571" s="181"/>
      <c r="AN571" s="181"/>
      <c r="AO571" s="181"/>
      <c r="AP571" s="181"/>
      <c r="AQ571" s="181"/>
      <c r="AR571" s="181"/>
      <c r="AS571" s="181"/>
      <c r="AT571" s="181"/>
      <c r="AU571" s="181"/>
      <c r="AV571" s="181"/>
      <c r="AW571" s="181"/>
    </row>
    <row r="572" spans="1:49" ht="13.5" customHeight="1" x14ac:dyDescent="0.3">
      <c r="A572" s="1"/>
      <c r="B572" s="181"/>
      <c r="C572" s="181"/>
      <c r="D572" s="181"/>
      <c r="E572" s="182"/>
      <c r="F572" s="182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  <c r="AC572" s="181"/>
      <c r="AD572" s="181"/>
      <c r="AE572" s="181"/>
      <c r="AF572" s="181"/>
      <c r="AG572" s="181"/>
      <c r="AH572" s="181"/>
      <c r="AI572" s="181"/>
      <c r="AJ572" s="181"/>
      <c r="AK572" s="181"/>
      <c r="AL572" s="181"/>
      <c r="AM572" s="181"/>
      <c r="AN572" s="181"/>
      <c r="AO572" s="181"/>
      <c r="AP572" s="181"/>
      <c r="AQ572" s="181"/>
      <c r="AR572" s="181"/>
      <c r="AS572" s="181"/>
      <c r="AT572" s="181"/>
      <c r="AU572" s="181"/>
      <c r="AV572" s="181"/>
      <c r="AW572" s="181"/>
    </row>
    <row r="573" spans="1:49" ht="13.5" customHeight="1" x14ac:dyDescent="0.3">
      <c r="A573" s="1"/>
      <c r="B573" s="181"/>
      <c r="C573" s="181"/>
      <c r="D573" s="181"/>
      <c r="E573" s="182"/>
      <c r="F573" s="182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  <c r="AC573" s="181"/>
      <c r="AD573" s="181"/>
      <c r="AE573" s="181"/>
      <c r="AF573" s="181"/>
      <c r="AG573" s="181"/>
      <c r="AH573" s="181"/>
      <c r="AI573" s="181"/>
      <c r="AJ573" s="181"/>
      <c r="AK573" s="181"/>
      <c r="AL573" s="181"/>
      <c r="AM573" s="181"/>
      <c r="AN573" s="181"/>
      <c r="AO573" s="181"/>
      <c r="AP573" s="181"/>
      <c r="AQ573" s="181"/>
      <c r="AR573" s="181"/>
      <c r="AS573" s="181"/>
      <c r="AT573" s="181"/>
      <c r="AU573" s="181"/>
      <c r="AV573" s="181"/>
      <c r="AW573" s="181"/>
    </row>
    <row r="574" spans="1:49" ht="13.5" customHeight="1" x14ac:dyDescent="0.3">
      <c r="A574" s="1"/>
      <c r="B574" s="181"/>
      <c r="C574" s="181"/>
      <c r="D574" s="181"/>
      <c r="E574" s="182"/>
      <c r="F574" s="182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  <c r="AC574" s="181"/>
      <c r="AD574" s="181"/>
      <c r="AE574" s="181"/>
      <c r="AF574" s="181"/>
      <c r="AG574" s="181"/>
      <c r="AH574" s="181"/>
      <c r="AI574" s="181"/>
      <c r="AJ574" s="181"/>
      <c r="AK574" s="181"/>
      <c r="AL574" s="181"/>
      <c r="AM574" s="181"/>
      <c r="AN574" s="181"/>
      <c r="AO574" s="181"/>
      <c r="AP574" s="181"/>
      <c r="AQ574" s="181"/>
      <c r="AR574" s="181"/>
      <c r="AS574" s="181"/>
      <c r="AT574" s="181"/>
      <c r="AU574" s="181"/>
      <c r="AV574" s="181"/>
      <c r="AW574" s="181"/>
    </row>
    <row r="575" spans="1:49" ht="13.5" customHeight="1" x14ac:dyDescent="0.3">
      <c r="A575" s="1"/>
      <c r="B575" s="181"/>
      <c r="C575" s="181"/>
      <c r="D575" s="181"/>
      <c r="E575" s="182"/>
      <c r="F575" s="182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  <c r="AC575" s="181"/>
      <c r="AD575" s="181"/>
      <c r="AE575" s="181"/>
      <c r="AF575" s="181"/>
      <c r="AG575" s="181"/>
      <c r="AH575" s="181"/>
      <c r="AI575" s="181"/>
      <c r="AJ575" s="181"/>
      <c r="AK575" s="181"/>
      <c r="AL575" s="181"/>
      <c r="AM575" s="181"/>
      <c r="AN575" s="181"/>
      <c r="AO575" s="181"/>
      <c r="AP575" s="181"/>
      <c r="AQ575" s="181"/>
      <c r="AR575" s="181"/>
      <c r="AS575" s="181"/>
      <c r="AT575" s="181"/>
      <c r="AU575" s="181"/>
      <c r="AV575" s="181"/>
      <c r="AW575" s="181"/>
    </row>
    <row r="576" spans="1:49" ht="13.5" customHeight="1" x14ac:dyDescent="0.3">
      <c r="A576" s="1"/>
      <c r="B576" s="181"/>
      <c r="C576" s="181"/>
      <c r="D576" s="181"/>
      <c r="E576" s="182"/>
      <c r="F576" s="182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  <c r="AC576" s="181"/>
      <c r="AD576" s="181"/>
      <c r="AE576" s="181"/>
      <c r="AF576" s="181"/>
      <c r="AG576" s="181"/>
      <c r="AH576" s="181"/>
      <c r="AI576" s="181"/>
      <c r="AJ576" s="181"/>
      <c r="AK576" s="181"/>
      <c r="AL576" s="181"/>
      <c r="AM576" s="181"/>
      <c r="AN576" s="181"/>
      <c r="AO576" s="181"/>
      <c r="AP576" s="181"/>
      <c r="AQ576" s="181"/>
      <c r="AR576" s="181"/>
      <c r="AS576" s="181"/>
      <c r="AT576" s="181"/>
      <c r="AU576" s="181"/>
      <c r="AV576" s="181"/>
      <c r="AW576" s="181"/>
    </row>
    <row r="577" spans="1:49" ht="13.5" customHeight="1" x14ac:dyDescent="0.3">
      <c r="A577" s="1"/>
      <c r="B577" s="181"/>
      <c r="C577" s="181"/>
      <c r="D577" s="181"/>
      <c r="E577" s="182"/>
      <c r="F577" s="182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  <c r="AC577" s="181"/>
      <c r="AD577" s="181"/>
      <c r="AE577" s="181"/>
      <c r="AF577" s="181"/>
      <c r="AG577" s="181"/>
      <c r="AH577" s="181"/>
      <c r="AI577" s="181"/>
      <c r="AJ577" s="181"/>
      <c r="AK577" s="181"/>
      <c r="AL577" s="181"/>
      <c r="AM577" s="181"/>
      <c r="AN577" s="181"/>
      <c r="AO577" s="181"/>
      <c r="AP577" s="181"/>
      <c r="AQ577" s="181"/>
      <c r="AR577" s="181"/>
      <c r="AS577" s="181"/>
      <c r="AT577" s="181"/>
      <c r="AU577" s="181"/>
      <c r="AV577" s="181"/>
      <c r="AW577" s="181"/>
    </row>
    <row r="578" spans="1:49" ht="13.5" customHeight="1" x14ac:dyDescent="0.3">
      <c r="A578" s="1"/>
      <c r="B578" s="181"/>
      <c r="C578" s="181"/>
      <c r="D578" s="181"/>
      <c r="E578" s="182"/>
      <c r="F578" s="182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  <c r="AC578" s="181"/>
      <c r="AD578" s="181"/>
      <c r="AE578" s="181"/>
      <c r="AF578" s="181"/>
      <c r="AG578" s="181"/>
      <c r="AH578" s="181"/>
      <c r="AI578" s="181"/>
      <c r="AJ578" s="181"/>
      <c r="AK578" s="181"/>
      <c r="AL578" s="181"/>
      <c r="AM578" s="181"/>
      <c r="AN578" s="181"/>
      <c r="AO578" s="181"/>
      <c r="AP578" s="181"/>
      <c r="AQ578" s="181"/>
      <c r="AR578" s="181"/>
      <c r="AS578" s="181"/>
      <c r="AT578" s="181"/>
      <c r="AU578" s="181"/>
      <c r="AV578" s="181"/>
      <c r="AW578" s="181"/>
    </row>
    <row r="579" spans="1:49" ht="13.5" customHeight="1" x14ac:dyDescent="0.3">
      <c r="A579" s="1"/>
      <c r="B579" s="181"/>
      <c r="C579" s="181"/>
      <c r="D579" s="181"/>
      <c r="E579" s="182"/>
      <c r="F579" s="182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  <c r="AC579" s="181"/>
      <c r="AD579" s="181"/>
      <c r="AE579" s="181"/>
      <c r="AF579" s="181"/>
      <c r="AG579" s="181"/>
      <c r="AH579" s="181"/>
      <c r="AI579" s="181"/>
      <c r="AJ579" s="181"/>
      <c r="AK579" s="181"/>
      <c r="AL579" s="181"/>
      <c r="AM579" s="181"/>
      <c r="AN579" s="181"/>
      <c r="AO579" s="181"/>
      <c r="AP579" s="181"/>
      <c r="AQ579" s="181"/>
      <c r="AR579" s="181"/>
      <c r="AS579" s="181"/>
      <c r="AT579" s="181"/>
      <c r="AU579" s="181"/>
      <c r="AV579" s="181"/>
      <c r="AW579" s="181"/>
    </row>
    <row r="580" spans="1:49" ht="13.5" customHeight="1" x14ac:dyDescent="0.3">
      <c r="A580" s="1"/>
      <c r="B580" s="181"/>
      <c r="C580" s="181"/>
      <c r="D580" s="181"/>
      <c r="E580" s="182"/>
      <c r="F580" s="182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  <c r="AC580" s="181"/>
      <c r="AD580" s="181"/>
      <c r="AE580" s="181"/>
      <c r="AF580" s="181"/>
      <c r="AG580" s="181"/>
      <c r="AH580" s="181"/>
      <c r="AI580" s="181"/>
      <c r="AJ580" s="181"/>
      <c r="AK580" s="181"/>
      <c r="AL580" s="181"/>
      <c r="AM580" s="181"/>
      <c r="AN580" s="181"/>
      <c r="AO580" s="181"/>
      <c r="AP580" s="181"/>
      <c r="AQ580" s="181"/>
      <c r="AR580" s="181"/>
      <c r="AS580" s="181"/>
      <c r="AT580" s="181"/>
      <c r="AU580" s="181"/>
      <c r="AV580" s="181"/>
      <c r="AW580" s="181"/>
    </row>
    <row r="581" spans="1:49" ht="13.5" customHeight="1" x14ac:dyDescent="0.3">
      <c r="A581" s="1"/>
      <c r="B581" s="181"/>
      <c r="C581" s="181"/>
      <c r="D581" s="181"/>
      <c r="E581" s="182"/>
      <c r="F581" s="182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  <c r="AC581" s="181"/>
      <c r="AD581" s="181"/>
      <c r="AE581" s="181"/>
      <c r="AF581" s="181"/>
      <c r="AG581" s="181"/>
      <c r="AH581" s="181"/>
      <c r="AI581" s="181"/>
      <c r="AJ581" s="181"/>
      <c r="AK581" s="181"/>
      <c r="AL581" s="181"/>
      <c r="AM581" s="181"/>
      <c r="AN581" s="181"/>
      <c r="AO581" s="181"/>
      <c r="AP581" s="181"/>
      <c r="AQ581" s="181"/>
      <c r="AR581" s="181"/>
      <c r="AS581" s="181"/>
      <c r="AT581" s="181"/>
      <c r="AU581" s="181"/>
      <c r="AV581" s="181"/>
      <c r="AW581" s="181"/>
    </row>
    <row r="582" spans="1:49" ht="13.5" customHeight="1" x14ac:dyDescent="0.3">
      <c r="A582" s="1"/>
      <c r="B582" s="181"/>
      <c r="C582" s="181"/>
      <c r="D582" s="181"/>
      <c r="E582" s="182"/>
      <c r="F582" s="182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  <c r="AC582" s="181"/>
      <c r="AD582" s="181"/>
      <c r="AE582" s="181"/>
      <c r="AF582" s="181"/>
      <c r="AG582" s="181"/>
      <c r="AH582" s="181"/>
      <c r="AI582" s="181"/>
      <c r="AJ582" s="181"/>
      <c r="AK582" s="181"/>
      <c r="AL582" s="181"/>
      <c r="AM582" s="181"/>
      <c r="AN582" s="181"/>
      <c r="AO582" s="181"/>
      <c r="AP582" s="181"/>
      <c r="AQ582" s="181"/>
      <c r="AR582" s="181"/>
      <c r="AS582" s="181"/>
      <c r="AT582" s="181"/>
      <c r="AU582" s="181"/>
      <c r="AV582" s="181"/>
      <c r="AW582" s="181"/>
    </row>
    <row r="583" spans="1:49" ht="13.5" customHeight="1" x14ac:dyDescent="0.3">
      <c r="A583" s="1"/>
      <c r="B583" s="181"/>
      <c r="C583" s="181"/>
      <c r="D583" s="181"/>
      <c r="E583" s="182"/>
      <c r="F583" s="182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  <c r="AC583" s="181"/>
      <c r="AD583" s="181"/>
      <c r="AE583" s="181"/>
      <c r="AF583" s="181"/>
      <c r="AG583" s="181"/>
      <c r="AH583" s="181"/>
      <c r="AI583" s="181"/>
      <c r="AJ583" s="181"/>
      <c r="AK583" s="181"/>
      <c r="AL583" s="181"/>
      <c r="AM583" s="181"/>
      <c r="AN583" s="181"/>
      <c r="AO583" s="181"/>
      <c r="AP583" s="181"/>
      <c r="AQ583" s="181"/>
      <c r="AR583" s="181"/>
      <c r="AS583" s="181"/>
      <c r="AT583" s="181"/>
      <c r="AU583" s="181"/>
      <c r="AV583" s="181"/>
      <c r="AW583" s="181"/>
    </row>
    <row r="584" spans="1:49" ht="13.5" customHeight="1" x14ac:dyDescent="0.3">
      <c r="A584" s="1"/>
      <c r="B584" s="181"/>
      <c r="C584" s="181"/>
      <c r="D584" s="181"/>
      <c r="E584" s="182"/>
      <c r="F584" s="182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  <c r="AC584" s="181"/>
      <c r="AD584" s="181"/>
      <c r="AE584" s="181"/>
      <c r="AF584" s="181"/>
      <c r="AG584" s="181"/>
      <c r="AH584" s="181"/>
      <c r="AI584" s="181"/>
      <c r="AJ584" s="181"/>
      <c r="AK584" s="181"/>
      <c r="AL584" s="181"/>
      <c r="AM584" s="181"/>
      <c r="AN584" s="181"/>
      <c r="AO584" s="181"/>
      <c r="AP584" s="181"/>
      <c r="AQ584" s="181"/>
      <c r="AR584" s="181"/>
      <c r="AS584" s="181"/>
      <c r="AT584" s="181"/>
      <c r="AU584" s="181"/>
      <c r="AV584" s="181"/>
      <c r="AW584" s="181"/>
    </row>
    <row r="585" spans="1:49" ht="13.5" customHeight="1" x14ac:dyDescent="0.3">
      <c r="A585" s="1"/>
      <c r="B585" s="181"/>
      <c r="C585" s="181"/>
      <c r="D585" s="181"/>
      <c r="E585" s="182"/>
      <c r="F585" s="182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  <c r="AC585" s="181"/>
      <c r="AD585" s="181"/>
      <c r="AE585" s="181"/>
      <c r="AF585" s="181"/>
      <c r="AG585" s="181"/>
      <c r="AH585" s="181"/>
      <c r="AI585" s="181"/>
      <c r="AJ585" s="181"/>
      <c r="AK585" s="181"/>
      <c r="AL585" s="181"/>
      <c r="AM585" s="181"/>
      <c r="AN585" s="181"/>
      <c r="AO585" s="181"/>
      <c r="AP585" s="181"/>
      <c r="AQ585" s="181"/>
      <c r="AR585" s="181"/>
      <c r="AS585" s="181"/>
      <c r="AT585" s="181"/>
      <c r="AU585" s="181"/>
      <c r="AV585" s="181"/>
      <c r="AW585" s="181"/>
    </row>
    <row r="586" spans="1:49" ht="13.5" customHeight="1" x14ac:dyDescent="0.3">
      <c r="A586" s="1"/>
      <c r="B586" s="181"/>
      <c r="C586" s="181"/>
      <c r="D586" s="181"/>
      <c r="E586" s="182"/>
      <c r="F586" s="182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  <c r="AC586" s="181"/>
      <c r="AD586" s="181"/>
      <c r="AE586" s="181"/>
      <c r="AF586" s="181"/>
      <c r="AG586" s="181"/>
      <c r="AH586" s="181"/>
      <c r="AI586" s="181"/>
      <c r="AJ586" s="181"/>
      <c r="AK586" s="181"/>
      <c r="AL586" s="181"/>
      <c r="AM586" s="181"/>
      <c r="AN586" s="181"/>
      <c r="AO586" s="181"/>
      <c r="AP586" s="181"/>
      <c r="AQ586" s="181"/>
      <c r="AR586" s="181"/>
      <c r="AS586" s="181"/>
      <c r="AT586" s="181"/>
      <c r="AU586" s="181"/>
      <c r="AV586" s="181"/>
      <c r="AW586" s="181"/>
    </row>
    <row r="587" spans="1:49" ht="13.5" customHeight="1" x14ac:dyDescent="0.3">
      <c r="A587" s="1"/>
      <c r="B587" s="181"/>
      <c r="C587" s="181"/>
      <c r="D587" s="181"/>
      <c r="E587" s="182"/>
      <c r="F587" s="182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  <c r="AC587" s="181"/>
      <c r="AD587" s="181"/>
      <c r="AE587" s="181"/>
      <c r="AF587" s="181"/>
      <c r="AG587" s="181"/>
      <c r="AH587" s="181"/>
      <c r="AI587" s="181"/>
      <c r="AJ587" s="181"/>
      <c r="AK587" s="181"/>
      <c r="AL587" s="181"/>
      <c r="AM587" s="181"/>
      <c r="AN587" s="181"/>
      <c r="AO587" s="181"/>
      <c r="AP587" s="181"/>
      <c r="AQ587" s="181"/>
      <c r="AR587" s="181"/>
      <c r="AS587" s="181"/>
      <c r="AT587" s="181"/>
      <c r="AU587" s="181"/>
      <c r="AV587" s="181"/>
      <c r="AW587" s="181"/>
    </row>
    <row r="588" spans="1:49" ht="13.5" customHeight="1" x14ac:dyDescent="0.3">
      <c r="A588" s="1"/>
      <c r="B588" s="181"/>
      <c r="C588" s="181"/>
      <c r="D588" s="181"/>
      <c r="E588" s="182"/>
      <c r="F588" s="182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  <c r="AC588" s="181"/>
      <c r="AD588" s="181"/>
      <c r="AE588" s="181"/>
      <c r="AF588" s="181"/>
      <c r="AG588" s="181"/>
      <c r="AH588" s="181"/>
      <c r="AI588" s="181"/>
      <c r="AJ588" s="181"/>
      <c r="AK588" s="181"/>
      <c r="AL588" s="181"/>
      <c r="AM588" s="181"/>
      <c r="AN588" s="181"/>
      <c r="AO588" s="181"/>
      <c r="AP588" s="181"/>
      <c r="AQ588" s="181"/>
      <c r="AR588" s="181"/>
      <c r="AS588" s="181"/>
      <c r="AT588" s="181"/>
      <c r="AU588" s="181"/>
      <c r="AV588" s="181"/>
      <c r="AW588" s="181"/>
    </row>
    <row r="589" spans="1:49" ht="13.5" customHeight="1" x14ac:dyDescent="0.3">
      <c r="A589" s="1"/>
      <c r="B589" s="181"/>
      <c r="C589" s="181"/>
      <c r="D589" s="181"/>
      <c r="E589" s="182"/>
      <c r="F589" s="182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  <c r="AC589" s="181"/>
      <c r="AD589" s="181"/>
      <c r="AE589" s="181"/>
      <c r="AF589" s="181"/>
      <c r="AG589" s="181"/>
      <c r="AH589" s="181"/>
      <c r="AI589" s="181"/>
      <c r="AJ589" s="181"/>
      <c r="AK589" s="181"/>
      <c r="AL589" s="181"/>
      <c r="AM589" s="181"/>
      <c r="AN589" s="181"/>
      <c r="AO589" s="181"/>
      <c r="AP589" s="181"/>
      <c r="AQ589" s="181"/>
      <c r="AR589" s="181"/>
      <c r="AS589" s="181"/>
      <c r="AT589" s="181"/>
      <c r="AU589" s="181"/>
      <c r="AV589" s="181"/>
      <c r="AW589" s="181"/>
    </row>
    <row r="590" spans="1:49" ht="13.5" customHeight="1" x14ac:dyDescent="0.3">
      <c r="A590" s="1"/>
      <c r="B590" s="181"/>
      <c r="C590" s="181"/>
      <c r="D590" s="181"/>
      <c r="E590" s="182"/>
      <c r="F590" s="182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  <c r="AC590" s="181"/>
      <c r="AD590" s="181"/>
      <c r="AE590" s="181"/>
      <c r="AF590" s="181"/>
      <c r="AG590" s="181"/>
      <c r="AH590" s="181"/>
      <c r="AI590" s="181"/>
      <c r="AJ590" s="181"/>
      <c r="AK590" s="181"/>
      <c r="AL590" s="181"/>
      <c r="AM590" s="181"/>
      <c r="AN590" s="181"/>
      <c r="AO590" s="181"/>
      <c r="AP590" s="181"/>
      <c r="AQ590" s="181"/>
      <c r="AR590" s="181"/>
      <c r="AS590" s="181"/>
      <c r="AT590" s="181"/>
      <c r="AU590" s="181"/>
      <c r="AV590" s="181"/>
      <c r="AW590" s="181"/>
    </row>
    <row r="591" spans="1:49" ht="13.5" customHeight="1" x14ac:dyDescent="0.3">
      <c r="A591" s="1"/>
      <c r="B591" s="181"/>
      <c r="C591" s="181"/>
      <c r="D591" s="181"/>
      <c r="E591" s="182"/>
      <c r="F591" s="182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  <c r="AC591" s="181"/>
      <c r="AD591" s="181"/>
      <c r="AE591" s="181"/>
      <c r="AF591" s="181"/>
      <c r="AG591" s="181"/>
      <c r="AH591" s="181"/>
      <c r="AI591" s="181"/>
      <c r="AJ591" s="181"/>
      <c r="AK591" s="181"/>
      <c r="AL591" s="181"/>
      <c r="AM591" s="181"/>
      <c r="AN591" s="181"/>
      <c r="AO591" s="181"/>
      <c r="AP591" s="181"/>
      <c r="AQ591" s="181"/>
      <c r="AR591" s="181"/>
      <c r="AS591" s="181"/>
      <c r="AT591" s="181"/>
      <c r="AU591" s="181"/>
      <c r="AV591" s="181"/>
      <c r="AW591" s="181"/>
    </row>
    <row r="592" spans="1:49" ht="13.5" customHeight="1" x14ac:dyDescent="0.3">
      <c r="A592" s="1"/>
      <c r="B592" s="181"/>
      <c r="C592" s="181"/>
      <c r="D592" s="181"/>
      <c r="E592" s="182"/>
      <c r="F592" s="182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  <c r="AC592" s="181"/>
      <c r="AD592" s="181"/>
      <c r="AE592" s="181"/>
      <c r="AF592" s="181"/>
      <c r="AG592" s="181"/>
      <c r="AH592" s="181"/>
      <c r="AI592" s="181"/>
      <c r="AJ592" s="181"/>
      <c r="AK592" s="181"/>
      <c r="AL592" s="181"/>
      <c r="AM592" s="181"/>
      <c r="AN592" s="181"/>
      <c r="AO592" s="181"/>
      <c r="AP592" s="181"/>
      <c r="AQ592" s="181"/>
      <c r="AR592" s="181"/>
      <c r="AS592" s="181"/>
      <c r="AT592" s="181"/>
      <c r="AU592" s="181"/>
      <c r="AV592" s="181"/>
      <c r="AW592" s="181"/>
    </row>
    <row r="593" spans="1:49" ht="13.5" customHeight="1" x14ac:dyDescent="0.3">
      <c r="A593" s="1"/>
      <c r="B593" s="181"/>
      <c r="C593" s="181"/>
      <c r="D593" s="181"/>
      <c r="E593" s="182"/>
      <c r="F593" s="182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  <c r="AC593" s="181"/>
      <c r="AD593" s="181"/>
      <c r="AE593" s="181"/>
      <c r="AF593" s="181"/>
      <c r="AG593" s="181"/>
      <c r="AH593" s="181"/>
      <c r="AI593" s="181"/>
      <c r="AJ593" s="181"/>
      <c r="AK593" s="181"/>
      <c r="AL593" s="181"/>
      <c r="AM593" s="181"/>
      <c r="AN593" s="181"/>
      <c r="AO593" s="181"/>
      <c r="AP593" s="181"/>
      <c r="AQ593" s="181"/>
      <c r="AR593" s="181"/>
      <c r="AS593" s="181"/>
      <c r="AT593" s="181"/>
      <c r="AU593" s="181"/>
      <c r="AV593" s="181"/>
      <c r="AW593" s="181"/>
    </row>
    <row r="594" spans="1:49" ht="13.5" customHeight="1" x14ac:dyDescent="0.3">
      <c r="A594" s="1"/>
      <c r="B594" s="181"/>
      <c r="C594" s="181"/>
      <c r="D594" s="181"/>
      <c r="E594" s="182"/>
      <c r="F594" s="182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  <c r="AC594" s="181"/>
      <c r="AD594" s="181"/>
      <c r="AE594" s="181"/>
      <c r="AF594" s="181"/>
      <c r="AG594" s="181"/>
      <c r="AH594" s="181"/>
      <c r="AI594" s="181"/>
      <c r="AJ594" s="181"/>
      <c r="AK594" s="181"/>
      <c r="AL594" s="181"/>
      <c r="AM594" s="181"/>
      <c r="AN594" s="181"/>
      <c r="AO594" s="181"/>
      <c r="AP594" s="181"/>
      <c r="AQ594" s="181"/>
      <c r="AR594" s="181"/>
      <c r="AS594" s="181"/>
      <c r="AT594" s="181"/>
      <c r="AU594" s="181"/>
      <c r="AV594" s="181"/>
      <c r="AW594" s="181"/>
    </row>
    <row r="595" spans="1:49" ht="13.5" customHeight="1" x14ac:dyDescent="0.3">
      <c r="A595" s="1"/>
      <c r="B595" s="181"/>
      <c r="C595" s="181"/>
      <c r="D595" s="181"/>
      <c r="E595" s="182"/>
      <c r="F595" s="182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  <c r="AC595" s="181"/>
      <c r="AD595" s="181"/>
      <c r="AE595" s="181"/>
      <c r="AF595" s="181"/>
      <c r="AG595" s="181"/>
      <c r="AH595" s="181"/>
      <c r="AI595" s="181"/>
      <c r="AJ595" s="181"/>
      <c r="AK595" s="181"/>
      <c r="AL595" s="181"/>
      <c r="AM595" s="181"/>
      <c r="AN595" s="181"/>
      <c r="AO595" s="181"/>
      <c r="AP595" s="181"/>
      <c r="AQ595" s="181"/>
      <c r="AR595" s="181"/>
      <c r="AS595" s="181"/>
      <c r="AT595" s="181"/>
      <c r="AU595" s="181"/>
      <c r="AV595" s="181"/>
      <c r="AW595" s="181"/>
    </row>
    <row r="596" spans="1:49" ht="13.5" customHeight="1" x14ac:dyDescent="0.3">
      <c r="A596" s="1"/>
      <c r="B596" s="181"/>
      <c r="C596" s="181"/>
      <c r="D596" s="181"/>
      <c r="E596" s="182"/>
      <c r="F596" s="182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  <c r="AC596" s="181"/>
      <c r="AD596" s="181"/>
      <c r="AE596" s="181"/>
      <c r="AF596" s="181"/>
      <c r="AG596" s="181"/>
      <c r="AH596" s="181"/>
      <c r="AI596" s="181"/>
      <c r="AJ596" s="181"/>
      <c r="AK596" s="181"/>
      <c r="AL596" s="181"/>
      <c r="AM596" s="181"/>
      <c r="AN596" s="181"/>
      <c r="AO596" s="181"/>
      <c r="AP596" s="181"/>
      <c r="AQ596" s="181"/>
      <c r="AR596" s="181"/>
      <c r="AS596" s="181"/>
      <c r="AT596" s="181"/>
      <c r="AU596" s="181"/>
      <c r="AV596" s="181"/>
      <c r="AW596" s="181"/>
    </row>
    <row r="597" spans="1:49" ht="13.5" customHeight="1" x14ac:dyDescent="0.3">
      <c r="A597" s="1"/>
      <c r="B597" s="181"/>
      <c r="C597" s="181"/>
      <c r="D597" s="181"/>
      <c r="E597" s="182"/>
      <c r="F597" s="182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  <c r="AC597" s="181"/>
      <c r="AD597" s="181"/>
      <c r="AE597" s="181"/>
      <c r="AF597" s="181"/>
      <c r="AG597" s="181"/>
      <c r="AH597" s="181"/>
      <c r="AI597" s="181"/>
      <c r="AJ597" s="181"/>
      <c r="AK597" s="181"/>
      <c r="AL597" s="181"/>
      <c r="AM597" s="181"/>
      <c r="AN597" s="181"/>
      <c r="AO597" s="181"/>
      <c r="AP597" s="181"/>
      <c r="AQ597" s="181"/>
      <c r="AR597" s="181"/>
      <c r="AS597" s="181"/>
      <c r="AT597" s="181"/>
      <c r="AU597" s="181"/>
      <c r="AV597" s="181"/>
      <c r="AW597" s="181"/>
    </row>
    <row r="598" spans="1:49" ht="13.5" customHeight="1" x14ac:dyDescent="0.3">
      <c r="A598" s="1"/>
      <c r="B598" s="181"/>
      <c r="C598" s="181"/>
      <c r="D598" s="181"/>
      <c r="E598" s="182"/>
      <c r="F598" s="182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  <c r="AC598" s="181"/>
      <c r="AD598" s="181"/>
      <c r="AE598" s="181"/>
      <c r="AF598" s="181"/>
      <c r="AG598" s="181"/>
      <c r="AH598" s="181"/>
      <c r="AI598" s="181"/>
      <c r="AJ598" s="181"/>
      <c r="AK598" s="181"/>
      <c r="AL598" s="181"/>
      <c r="AM598" s="181"/>
      <c r="AN598" s="181"/>
      <c r="AO598" s="181"/>
      <c r="AP598" s="181"/>
      <c r="AQ598" s="181"/>
      <c r="AR598" s="181"/>
      <c r="AS598" s="181"/>
      <c r="AT598" s="181"/>
      <c r="AU598" s="181"/>
      <c r="AV598" s="181"/>
      <c r="AW598" s="181"/>
    </row>
    <row r="599" spans="1:49" ht="13.5" customHeight="1" x14ac:dyDescent="0.3">
      <c r="A599" s="1"/>
      <c r="B599" s="181"/>
      <c r="C599" s="181"/>
      <c r="D599" s="181"/>
      <c r="E599" s="182"/>
      <c r="F599" s="182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  <c r="AC599" s="181"/>
      <c r="AD599" s="181"/>
      <c r="AE599" s="181"/>
      <c r="AF599" s="181"/>
      <c r="AG599" s="181"/>
      <c r="AH599" s="181"/>
      <c r="AI599" s="181"/>
      <c r="AJ599" s="181"/>
      <c r="AK599" s="181"/>
      <c r="AL599" s="181"/>
      <c r="AM599" s="181"/>
      <c r="AN599" s="181"/>
      <c r="AO599" s="181"/>
      <c r="AP599" s="181"/>
      <c r="AQ599" s="181"/>
      <c r="AR599" s="181"/>
      <c r="AS599" s="181"/>
      <c r="AT599" s="181"/>
      <c r="AU599" s="181"/>
      <c r="AV599" s="181"/>
      <c r="AW599" s="181"/>
    </row>
    <row r="600" spans="1:49" ht="13.5" customHeight="1" x14ac:dyDescent="0.3">
      <c r="A600" s="1"/>
      <c r="B600" s="181"/>
      <c r="C600" s="181"/>
      <c r="D600" s="181"/>
      <c r="E600" s="182"/>
      <c r="F600" s="182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  <c r="AC600" s="181"/>
      <c r="AD600" s="181"/>
      <c r="AE600" s="181"/>
      <c r="AF600" s="181"/>
      <c r="AG600" s="181"/>
      <c r="AH600" s="181"/>
      <c r="AI600" s="181"/>
      <c r="AJ600" s="181"/>
      <c r="AK600" s="181"/>
      <c r="AL600" s="181"/>
      <c r="AM600" s="181"/>
      <c r="AN600" s="181"/>
      <c r="AO600" s="181"/>
      <c r="AP600" s="181"/>
      <c r="AQ600" s="181"/>
      <c r="AR600" s="181"/>
      <c r="AS600" s="181"/>
      <c r="AT600" s="181"/>
      <c r="AU600" s="181"/>
      <c r="AV600" s="181"/>
      <c r="AW600" s="181"/>
    </row>
    <row r="601" spans="1:49" ht="13.5" customHeight="1" x14ac:dyDescent="0.3">
      <c r="A601" s="1"/>
      <c r="B601" s="181"/>
      <c r="C601" s="181"/>
      <c r="D601" s="181"/>
      <c r="E601" s="182"/>
      <c r="F601" s="182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  <c r="AC601" s="181"/>
      <c r="AD601" s="181"/>
      <c r="AE601" s="181"/>
      <c r="AF601" s="181"/>
      <c r="AG601" s="181"/>
      <c r="AH601" s="181"/>
      <c r="AI601" s="181"/>
      <c r="AJ601" s="181"/>
      <c r="AK601" s="181"/>
      <c r="AL601" s="181"/>
      <c r="AM601" s="181"/>
      <c r="AN601" s="181"/>
      <c r="AO601" s="181"/>
      <c r="AP601" s="181"/>
      <c r="AQ601" s="181"/>
      <c r="AR601" s="181"/>
      <c r="AS601" s="181"/>
      <c r="AT601" s="181"/>
      <c r="AU601" s="181"/>
      <c r="AV601" s="181"/>
      <c r="AW601" s="181"/>
    </row>
    <row r="602" spans="1:49" ht="13.5" customHeight="1" x14ac:dyDescent="0.3">
      <c r="A602" s="1"/>
      <c r="B602" s="181"/>
      <c r="C602" s="181"/>
      <c r="D602" s="181"/>
      <c r="E602" s="182"/>
      <c r="F602" s="182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  <c r="AC602" s="181"/>
      <c r="AD602" s="181"/>
      <c r="AE602" s="181"/>
      <c r="AF602" s="181"/>
      <c r="AG602" s="181"/>
      <c r="AH602" s="181"/>
      <c r="AI602" s="181"/>
      <c r="AJ602" s="181"/>
      <c r="AK602" s="181"/>
      <c r="AL602" s="181"/>
      <c r="AM602" s="181"/>
      <c r="AN602" s="181"/>
      <c r="AO602" s="181"/>
      <c r="AP602" s="181"/>
      <c r="AQ602" s="181"/>
      <c r="AR602" s="181"/>
      <c r="AS602" s="181"/>
      <c r="AT602" s="181"/>
      <c r="AU602" s="181"/>
      <c r="AV602" s="181"/>
      <c r="AW602" s="181"/>
    </row>
    <row r="603" spans="1:49" ht="13.5" customHeight="1" x14ac:dyDescent="0.3">
      <c r="A603" s="1"/>
      <c r="B603" s="181"/>
      <c r="C603" s="181"/>
      <c r="D603" s="181"/>
      <c r="E603" s="182"/>
      <c r="F603" s="182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  <c r="AC603" s="181"/>
      <c r="AD603" s="181"/>
      <c r="AE603" s="181"/>
      <c r="AF603" s="181"/>
      <c r="AG603" s="181"/>
      <c r="AH603" s="181"/>
      <c r="AI603" s="181"/>
      <c r="AJ603" s="181"/>
      <c r="AK603" s="181"/>
      <c r="AL603" s="181"/>
      <c r="AM603" s="181"/>
      <c r="AN603" s="181"/>
      <c r="AO603" s="181"/>
      <c r="AP603" s="181"/>
      <c r="AQ603" s="181"/>
      <c r="AR603" s="181"/>
      <c r="AS603" s="181"/>
      <c r="AT603" s="181"/>
      <c r="AU603" s="181"/>
      <c r="AV603" s="181"/>
      <c r="AW603" s="181"/>
    </row>
    <row r="604" spans="1:49" ht="13.5" customHeight="1" x14ac:dyDescent="0.3">
      <c r="A604" s="1"/>
      <c r="B604" s="181"/>
      <c r="C604" s="181"/>
      <c r="D604" s="181"/>
      <c r="E604" s="182"/>
      <c r="F604" s="182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  <c r="AC604" s="181"/>
      <c r="AD604" s="181"/>
      <c r="AE604" s="181"/>
      <c r="AF604" s="181"/>
      <c r="AG604" s="181"/>
      <c r="AH604" s="181"/>
      <c r="AI604" s="181"/>
      <c r="AJ604" s="181"/>
      <c r="AK604" s="181"/>
      <c r="AL604" s="181"/>
      <c r="AM604" s="181"/>
      <c r="AN604" s="181"/>
      <c r="AO604" s="181"/>
      <c r="AP604" s="181"/>
      <c r="AQ604" s="181"/>
      <c r="AR604" s="181"/>
      <c r="AS604" s="181"/>
      <c r="AT604" s="181"/>
      <c r="AU604" s="181"/>
      <c r="AV604" s="181"/>
      <c r="AW604" s="181"/>
    </row>
    <row r="605" spans="1:49" ht="13.5" customHeight="1" x14ac:dyDescent="0.3">
      <c r="A605" s="1"/>
      <c r="B605" s="181"/>
      <c r="C605" s="181"/>
      <c r="D605" s="181"/>
      <c r="E605" s="182"/>
      <c r="F605" s="182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  <c r="AC605" s="181"/>
      <c r="AD605" s="181"/>
      <c r="AE605" s="181"/>
      <c r="AF605" s="181"/>
      <c r="AG605" s="181"/>
      <c r="AH605" s="181"/>
      <c r="AI605" s="181"/>
      <c r="AJ605" s="181"/>
      <c r="AK605" s="181"/>
      <c r="AL605" s="181"/>
      <c r="AM605" s="181"/>
      <c r="AN605" s="181"/>
      <c r="AO605" s="181"/>
      <c r="AP605" s="181"/>
      <c r="AQ605" s="181"/>
      <c r="AR605" s="181"/>
      <c r="AS605" s="181"/>
      <c r="AT605" s="181"/>
      <c r="AU605" s="181"/>
      <c r="AV605" s="181"/>
      <c r="AW605" s="181"/>
    </row>
    <row r="606" spans="1:49" ht="13.5" customHeight="1" x14ac:dyDescent="0.3">
      <c r="A606" s="1"/>
      <c r="B606" s="181"/>
      <c r="C606" s="181"/>
      <c r="D606" s="181"/>
      <c r="E606" s="182"/>
      <c r="F606" s="182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  <c r="AC606" s="181"/>
      <c r="AD606" s="181"/>
      <c r="AE606" s="181"/>
      <c r="AF606" s="181"/>
      <c r="AG606" s="181"/>
      <c r="AH606" s="181"/>
      <c r="AI606" s="181"/>
      <c r="AJ606" s="181"/>
      <c r="AK606" s="181"/>
      <c r="AL606" s="181"/>
      <c r="AM606" s="181"/>
      <c r="AN606" s="181"/>
      <c r="AO606" s="181"/>
      <c r="AP606" s="181"/>
      <c r="AQ606" s="181"/>
      <c r="AR606" s="181"/>
      <c r="AS606" s="181"/>
      <c r="AT606" s="181"/>
      <c r="AU606" s="181"/>
      <c r="AV606" s="181"/>
      <c r="AW606" s="181"/>
    </row>
    <row r="607" spans="1:49" ht="13.5" customHeight="1" x14ac:dyDescent="0.3">
      <c r="A607" s="1"/>
      <c r="B607" s="181"/>
      <c r="C607" s="181"/>
      <c r="D607" s="181"/>
      <c r="E607" s="182"/>
      <c r="F607" s="182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  <c r="AC607" s="181"/>
      <c r="AD607" s="181"/>
      <c r="AE607" s="181"/>
      <c r="AF607" s="181"/>
      <c r="AG607" s="181"/>
      <c r="AH607" s="181"/>
      <c r="AI607" s="181"/>
      <c r="AJ607" s="181"/>
      <c r="AK607" s="181"/>
      <c r="AL607" s="181"/>
      <c r="AM607" s="181"/>
      <c r="AN607" s="181"/>
      <c r="AO607" s="181"/>
      <c r="AP607" s="181"/>
      <c r="AQ607" s="181"/>
      <c r="AR607" s="181"/>
      <c r="AS607" s="181"/>
      <c r="AT607" s="181"/>
      <c r="AU607" s="181"/>
      <c r="AV607" s="181"/>
      <c r="AW607" s="181"/>
    </row>
    <row r="608" spans="1:49" ht="13.5" customHeight="1" x14ac:dyDescent="0.3">
      <c r="A608" s="1"/>
      <c r="B608" s="181"/>
      <c r="C608" s="181"/>
      <c r="D608" s="181"/>
      <c r="E608" s="182"/>
      <c r="F608" s="182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  <c r="AC608" s="181"/>
      <c r="AD608" s="181"/>
      <c r="AE608" s="181"/>
      <c r="AF608" s="181"/>
      <c r="AG608" s="181"/>
      <c r="AH608" s="181"/>
      <c r="AI608" s="181"/>
      <c r="AJ608" s="181"/>
      <c r="AK608" s="181"/>
      <c r="AL608" s="181"/>
      <c r="AM608" s="181"/>
      <c r="AN608" s="181"/>
      <c r="AO608" s="181"/>
      <c r="AP608" s="181"/>
      <c r="AQ608" s="181"/>
      <c r="AR608" s="181"/>
      <c r="AS608" s="181"/>
      <c r="AT608" s="181"/>
      <c r="AU608" s="181"/>
      <c r="AV608" s="181"/>
      <c r="AW608" s="181"/>
    </row>
    <row r="609" spans="1:49" ht="13.5" customHeight="1" x14ac:dyDescent="0.3">
      <c r="A609" s="1"/>
      <c r="B609" s="181"/>
      <c r="C609" s="181"/>
      <c r="D609" s="181"/>
      <c r="E609" s="182"/>
      <c r="F609" s="182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  <c r="AC609" s="181"/>
      <c r="AD609" s="181"/>
      <c r="AE609" s="181"/>
      <c r="AF609" s="181"/>
      <c r="AG609" s="181"/>
      <c r="AH609" s="181"/>
      <c r="AI609" s="181"/>
      <c r="AJ609" s="181"/>
      <c r="AK609" s="181"/>
      <c r="AL609" s="181"/>
      <c r="AM609" s="181"/>
      <c r="AN609" s="181"/>
      <c r="AO609" s="181"/>
      <c r="AP609" s="181"/>
      <c r="AQ609" s="181"/>
      <c r="AR609" s="181"/>
      <c r="AS609" s="181"/>
      <c r="AT609" s="181"/>
      <c r="AU609" s="181"/>
      <c r="AV609" s="181"/>
      <c r="AW609" s="181"/>
    </row>
    <row r="610" spans="1:49" ht="13.5" customHeight="1" x14ac:dyDescent="0.3">
      <c r="A610" s="1"/>
      <c r="B610" s="181"/>
      <c r="C610" s="181"/>
      <c r="D610" s="181"/>
      <c r="E610" s="182"/>
      <c r="F610" s="182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  <c r="AC610" s="181"/>
      <c r="AD610" s="181"/>
      <c r="AE610" s="181"/>
      <c r="AF610" s="181"/>
      <c r="AG610" s="181"/>
      <c r="AH610" s="181"/>
      <c r="AI610" s="181"/>
      <c r="AJ610" s="181"/>
      <c r="AK610" s="181"/>
      <c r="AL610" s="181"/>
      <c r="AM610" s="181"/>
      <c r="AN610" s="181"/>
      <c r="AO610" s="181"/>
      <c r="AP610" s="181"/>
      <c r="AQ610" s="181"/>
      <c r="AR610" s="181"/>
      <c r="AS610" s="181"/>
      <c r="AT610" s="181"/>
      <c r="AU610" s="181"/>
      <c r="AV610" s="181"/>
      <c r="AW610" s="181"/>
    </row>
    <row r="611" spans="1:49" ht="13.5" customHeight="1" x14ac:dyDescent="0.3">
      <c r="A611" s="1"/>
      <c r="B611" s="181"/>
      <c r="C611" s="181"/>
      <c r="D611" s="181"/>
      <c r="E611" s="182"/>
      <c r="F611" s="182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  <c r="AC611" s="181"/>
      <c r="AD611" s="181"/>
      <c r="AE611" s="181"/>
      <c r="AF611" s="181"/>
      <c r="AG611" s="181"/>
      <c r="AH611" s="181"/>
      <c r="AI611" s="181"/>
      <c r="AJ611" s="181"/>
      <c r="AK611" s="181"/>
      <c r="AL611" s="181"/>
      <c r="AM611" s="181"/>
      <c r="AN611" s="181"/>
      <c r="AO611" s="181"/>
      <c r="AP611" s="181"/>
      <c r="AQ611" s="181"/>
      <c r="AR611" s="181"/>
      <c r="AS611" s="181"/>
      <c r="AT611" s="181"/>
      <c r="AU611" s="181"/>
      <c r="AV611" s="181"/>
      <c r="AW611" s="181"/>
    </row>
    <row r="612" spans="1:49" ht="13.5" customHeight="1" x14ac:dyDescent="0.3">
      <c r="A612" s="1"/>
      <c r="B612" s="181"/>
      <c r="C612" s="181"/>
      <c r="D612" s="181"/>
      <c r="E612" s="182"/>
      <c r="F612" s="182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  <c r="AC612" s="181"/>
      <c r="AD612" s="181"/>
      <c r="AE612" s="181"/>
      <c r="AF612" s="181"/>
      <c r="AG612" s="181"/>
      <c r="AH612" s="181"/>
      <c r="AI612" s="181"/>
      <c r="AJ612" s="181"/>
      <c r="AK612" s="181"/>
      <c r="AL612" s="181"/>
      <c r="AM612" s="181"/>
      <c r="AN612" s="181"/>
      <c r="AO612" s="181"/>
      <c r="AP612" s="181"/>
      <c r="AQ612" s="181"/>
      <c r="AR612" s="181"/>
      <c r="AS612" s="181"/>
      <c r="AT612" s="181"/>
      <c r="AU612" s="181"/>
      <c r="AV612" s="181"/>
      <c r="AW612" s="181"/>
    </row>
    <row r="613" spans="1:49" ht="13.5" customHeight="1" x14ac:dyDescent="0.3">
      <c r="A613" s="1"/>
      <c r="B613" s="181"/>
      <c r="C613" s="181"/>
      <c r="D613" s="181"/>
      <c r="E613" s="182"/>
      <c r="F613" s="182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  <c r="AC613" s="181"/>
      <c r="AD613" s="181"/>
      <c r="AE613" s="181"/>
      <c r="AF613" s="181"/>
      <c r="AG613" s="181"/>
      <c r="AH613" s="181"/>
      <c r="AI613" s="181"/>
      <c r="AJ613" s="181"/>
      <c r="AK613" s="181"/>
      <c r="AL613" s="181"/>
      <c r="AM613" s="181"/>
      <c r="AN613" s="181"/>
      <c r="AO613" s="181"/>
      <c r="AP613" s="181"/>
      <c r="AQ613" s="181"/>
      <c r="AR613" s="181"/>
      <c r="AS613" s="181"/>
      <c r="AT613" s="181"/>
      <c r="AU613" s="181"/>
      <c r="AV613" s="181"/>
      <c r="AW613" s="181"/>
    </row>
    <row r="614" spans="1:49" ht="13.5" customHeight="1" x14ac:dyDescent="0.3">
      <c r="A614" s="1"/>
      <c r="B614" s="181"/>
      <c r="C614" s="181"/>
      <c r="D614" s="181"/>
      <c r="E614" s="182"/>
      <c r="F614" s="182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  <c r="AC614" s="181"/>
      <c r="AD614" s="181"/>
      <c r="AE614" s="181"/>
      <c r="AF614" s="181"/>
      <c r="AG614" s="181"/>
      <c r="AH614" s="181"/>
      <c r="AI614" s="181"/>
      <c r="AJ614" s="181"/>
      <c r="AK614" s="181"/>
      <c r="AL614" s="181"/>
      <c r="AM614" s="181"/>
      <c r="AN614" s="181"/>
      <c r="AO614" s="181"/>
      <c r="AP614" s="181"/>
      <c r="AQ614" s="181"/>
      <c r="AR614" s="181"/>
      <c r="AS614" s="181"/>
      <c r="AT614" s="181"/>
      <c r="AU614" s="181"/>
      <c r="AV614" s="181"/>
      <c r="AW614" s="181"/>
    </row>
    <row r="615" spans="1:49" ht="13.5" customHeight="1" x14ac:dyDescent="0.3">
      <c r="A615" s="1"/>
      <c r="B615" s="181"/>
      <c r="C615" s="181"/>
      <c r="D615" s="181"/>
      <c r="E615" s="182"/>
      <c r="F615" s="182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  <c r="AC615" s="181"/>
      <c r="AD615" s="181"/>
      <c r="AE615" s="181"/>
      <c r="AF615" s="181"/>
      <c r="AG615" s="181"/>
      <c r="AH615" s="181"/>
      <c r="AI615" s="181"/>
      <c r="AJ615" s="181"/>
      <c r="AK615" s="181"/>
      <c r="AL615" s="181"/>
      <c r="AM615" s="181"/>
      <c r="AN615" s="181"/>
      <c r="AO615" s="181"/>
      <c r="AP615" s="181"/>
      <c r="AQ615" s="181"/>
      <c r="AR615" s="181"/>
      <c r="AS615" s="181"/>
      <c r="AT615" s="181"/>
      <c r="AU615" s="181"/>
      <c r="AV615" s="181"/>
      <c r="AW615" s="181"/>
    </row>
    <row r="616" spans="1:49" ht="13.5" customHeight="1" x14ac:dyDescent="0.3">
      <c r="A616" s="1"/>
      <c r="B616" s="181"/>
      <c r="C616" s="181"/>
      <c r="D616" s="181"/>
      <c r="E616" s="182"/>
      <c r="F616" s="182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  <c r="AC616" s="181"/>
      <c r="AD616" s="181"/>
      <c r="AE616" s="181"/>
      <c r="AF616" s="181"/>
      <c r="AG616" s="181"/>
      <c r="AH616" s="181"/>
      <c r="AI616" s="181"/>
      <c r="AJ616" s="181"/>
      <c r="AK616" s="181"/>
      <c r="AL616" s="181"/>
      <c r="AM616" s="181"/>
      <c r="AN616" s="181"/>
      <c r="AO616" s="181"/>
      <c r="AP616" s="181"/>
      <c r="AQ616" s="181"/>
      <c r="AR616" s="181"/>
      <c r="AS616" s="181"/>
      <c r="AT616" s="181"/>
      <c r="AU616" s="181"/>
      <c r="AV616" s="181"/>
      <c r="AW616" s="181"/>
    </row>
    <row r="617" spans="1:49" ht="13.5" customHeight="1" x14ac:dyDescent="0.3">
      <c r="A617" s="1"/>
      <c r="B617" s="181"/>
      <c r="C617" s="181"/>
      <c r="D617" s="181"/>
      <c r="E617" s="182"/>
      <c r="F617" s="182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  <c r="AC617" s="181"/>
      <c r="AD617" s="181"/>
      <c r="AE617" s="181"/>
      <c r="AF617" s="181"/>
      <c r="AG617" s="181"/>
      <c r="AH617" s="181"/>
      <c r="AI617" s="181"/>
      <c r="AJ617" s="181"/>
      <c r="AK617" s="181"/>
      <c r="AL617" s="181"/>
      <c r="AM617" s="181"/>
      <c r="AN617" s="181"/>
      <c r="AO617" s="181"/>
      <c r="AP617" s="181"/>
      <c r="AQ617" s="181"/>
      <c r="AR617" s="181"/>
      <c r="AS617" s="181"/>
      <c r="AT617" s="181"/>
      <c r="AU617" s="181"/>
      <c r="AV617" s="181"/>
      <c r="AW617" s="181"/>
    </row>
    <row r="618" spans="1:49" ht="13.5" customHeight="1" x14ac:dyDescent="0.3">
      <c r="A618" s="1"/>
      <c r="B618" s="181"/>
      <c r="C618" s="181"/>
      <c r="D618" s="181"/>
      <c r="E618" s="182"/>
      <c r="F618" s="182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  <c r="AC618" s="181"/>
      <c r="AD618" s="181"/>
      <c r="AE618" s="181"/>
      <c r="AF618" s="181"/>
      <c r="AG618" s="181"/>
      <c r="AH618" s="181"/>
      <c r="AI618" s="181"/>
      <c r="AJ618" s="181"/>
      <c r="AK618" s="181"/>
      <c r="AL618" s="181"/>
      <c r="AM618" s="181"/>
      <c r="AN618" s="181"/>
      <c r="AO618" s="181"/>
      <c r="AP618" s="181"/>
      <c r="AQ618" s="181"/>
      <c r="AR618" s="181"/>
      <c r="AS618" s="181"/>
      <c r="AT618" s="181"/>
      <c r="AU618" s="181"/>
      <c r="AV618" s="181"/>
      <c r="AW618" s="181"/>
    </row>
    <row r="619" spans="1:49" ht="13.5" customHeight="1" x14ac:dyDescent="0.3">
      <c r="A619" s="1"/>
      <c r="B619" s="181"/>
      <c r="C619" s="181"/>
      <c r="D619" s="181"/>
      <c r="E619" s="182"/>
      <c r="F619" s="182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  <c r="AC619" s="181"/>
      <c r="AD619" s="181"/>
      <c r="AE619" s="181"/>
      <c r="AF619" s="181"/>
      <c r="AG619" s="181"/>
      <c r="AH619" s="181"/>
      <c r="AI619" s="181"/>
      <c r="AJ619" s="181"/>
      <c r="AK619" s="181"/>
      <c r="AL619" s="181"/>
      <c r="AM619" s="181"/>
      <c r="AN619" s="181"/>
      <c r="AO619" s="181"/>
      <c r="AP619" s="181"/>
      <c r="AQ619" s="181"/>
      <c r="AR619" s="181"/>
      <c r="AS619" s="181"/>
      <c r="AT619" s="181"/>
      <c r="AU619" s="181"/>
      <c r="AV619" s="181"/>
      <c r="AW619" s="181"/>
    </row>
    <row r="620" spans="1:49" ht="13.5" customHeight="1" x14ac:dyDescent="0.3">
      <c r="A620" s="1"/>
      <c r="B620" s="181"/>
      <c r="C620" s="181"/>
      <c r="D620" s="181"/>
      <c r="E620" s="182"/>
      <c r="F620" s="182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  <c r="AC620" s="181"/>
      <c r="AD620" s="181"/>
      <c r="AE620" s="181"/>
      <c r="AF620" s="181"/>
      <c r="AG620" s="181"/>
      <c r="AH620" s="181"/>
      <c r="AI620" s="181"/>
      <c r="AJ620" s="181"/>
      <c r="AK620" s="181"/>
      <c r="AL620" s="181"/>
      <c r="AM620" s="181"/>
      <c r="AN620" s="181"/>
      <c r="AO620" s="181"/>
      <c r="AP620" s="181"/>
      <c r="AQ620" s="181"/>
      <c r="AR620" s="181"/>
      <c r="AS620" s="181"/>
      <c r="AT620" s="181"/>
      <c r="AU620" s="181"/>
      <c r="AV620" s="181"/>
      <c r="AW620" s="181"/>
    </row>
    <row r="621" spans="1:49" ht="13.5" customHeight="1" x14ac:dyDescent="0.3">
      <c r="A621" s="1"/>
      <c r="B621" s="181"/>
      <c r="C621" s="181"/>
      <c r="D621" s="181"/>
      <c r="E621" s="182"/>
      <c r="F621" s="182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  <c r="AC621" s="181"/>
      <c r="AD621" s="181"/>
      <c r="AE621" s="181"/>
      <c r="AF621" s="181"/>
      <c r="AG621" s="181"/>
      <c r="AH621" s="181"/>
      <c r="AI621" s="181"/>
      <c r="AJ621" s="181"/>
      <c r="AK621" s="181"/>
      <c r="AL621" s="181"/>
      <c r="AM621" s="181"/>
      <c r="AN621" s="181"/>
      <c r="AO621" s="181"/>
      <c r="AP621" s="181"/>
      <c r="AQ621" s="181"/>
      <c r="AR621" s="181"/>
      <c r="AS621" s="181"/>
      <c r="AT621" s="181"/>
      <c r="AU621" s="181"/>
      <c r="AV621" s="181"/>
      <c r="AW621" s="181"/>
    </row>
    <row r="622" spans="1:49" ht="13.5" customHeight="1" x14ac:dyDescent="0.3">
      <c r="A622" s="1"/>
      <c r="B622" s="181"/>
      <c r="C622" s="181"/>
      <c r="D622" s="181"/>
      <c r="E622" s="182"/>
      <c r="F622" s="182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  <c r="AC622" s="181"/>
      <c r="AD622" s="181"/>
      <c r="AE622" s="181"/>
      <c r="AF622" s="181"/>
      <c r="AG622" s="181"/>
      <c r="AH622" s="181"/>
      <c r="AI622" s="181"/>
      <c r="AJ622" s="181"/>
      <c r="AK622" s="181"/>
      <c r="AL622" s="181"/>
      <c r="AM622" s="181"/>
      <c r="AN622" s="181"/>
      <c r="AO622" s="181"/>
      <c r="AP622" s="181"/>
      <c r="AQ622" s="181"/>
      <c r="AR622" s="181"/>
      <c r="AS622" s="181"/>
      <c r="AT622" s="181"/>
      <c r="AU622" s="181"/>
      <c r="AV622" s="181"/>
      <c r="AW622" s="181"/>
    </row>
    <row r="623" spans="1:49" ht="13.5" customHeight="1" x14ac:dyDescent="0.3">
      <c r="A623" s="1"/>
      <c r="B623" s="181"/>
      <c r="C623" s="181"/>
      <c r="D623" s="181"/>
      <c r="E623" s="182"/>
      <c r="F623" s="182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  <c r="AC623" s="181"/>
      <c r="AD623" s="181"/>
      <c r="AE623" s="181"/>
      <c r="AF623" s="181"/>
      <c r="AG623" s="181"/>
      <c r="AH623" s="181"/>
      <c r="AI623" s="181"/>
      <c r="AJ623" s="181"/>
      <c r="AK623" s="181"/>
      <c r="AL623" s="181"/>
      <c r="AM623" s="181"/>
      <c r="AN623" s="181"/>
      <c r="AO623" s="181"/>
      <c r="AP623" s="181"/>
      <c r="AQ623" s="181"/>
      <c r="AR623" s="181"/>
      <c r="AS623" s="181"/>
      <c r="AT623" s="181"/>
      <c r="AU623" s="181"/>
      <c r="AV623" s="181"/>
      <c r="AW623" s="181"/>
    </row>
    <row r="624" spans="1:49" ht="13.5" customHeight="1" x14ac:dyDescent="0.3">
      <c r="A624" s="1"/>
      <c r="B624" s="181"/>
      <c r="C624" s="181"/>
      <c r="D624" s="181"/>
      <c r="E624" s="182"/>
      <c r="F624" s="182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  <c r="AC624" s="181"/>
      <c r="AD624" s="181"/>
      <c r="AE624" s="181"/>
      <c r="AF624" s="181"/>
      <c r="AG624" s="181"/>
      <c r="AH624" s="181"/>
      <c r="AI624" s="181"/>
      <c r="AJ624" s="181"/>
      <c r="AK624" s="181"/>
      <c r="AL624" s="181"/>
      <c r="AM624" s="181"/>
      <c r="AN624" s="181"/>
      <c r="AO624" s="181"/>
      <c r="AP624" s="181"/>
      <c r="AQ624" s="181"/>
      <c r="AR624" s="181"/>
      <c r="AS624" s="181"/>
      <c r="AT624" s="181"/>
      <c r="AU624" s="181"/>
      <c r="AV624" s="181"/>
      <c r="AW624" s="181"/>
    </row>
    <row r="625" spans="1:49" ht="13.5" customHeight="1" x14ac:dyDescent="0.3">
      <c r="A625" s="1"/>
      <c r="B625" s="181"/>
      <c r="C625" s="181"/>
      <c r="D625" s="181"/>
      <c r="E625" s="182"/>
      <c r="F625" s="182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  <c r="AC625" s="181"/>
      <c r="AD625" s="181"/>
      <c r="AE625" s="181"/>
      <c r="AF625" s="181"/>
      <c r="AG625" s="181"/>
      <c r="AH625" s="181"/>
      <c r="AI625" s="181"/>
      <c r="AJ625" s="181"/>
      <c r="AK625" s="181"/>
      <c r="AL625" s="181"/>
      <c r="AM625" s="181"/>
      <c r="AN625" s="181"/>
      <c r="AO625" s="181"/>
      <c r="AP625" s="181"/>
      <c r="AQ625" s="181"/>
      <c r="AR625" s="181"/>
      <c r="AS625" s="181"/>
      <c r="AT625" s="181"/>
      <c r="AU625" s="181"/>
      <c r="AV625" s="181"/>
      <c r="AW625" s="181"/>
    </row>
    <row r="626" spans="1:49" ht="13.5" customHeight="1" x14ac:dyDescent="0.3">
      <c r="A626" s="1"/>
      <c r="B626" s="181"/>
      <c r="C626" s="181"/>
      <c r="D626" s="181"/>
      <c r="E626" s="182"/>
      <c r="F626" s="182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  <c r="AC626" s="181"/>
      <c r="AD626" s="181"/>
      <c r="AE626" s="181"/>
      <c r="AF626" s="181"/>
      <c r="AG626" s="181"/>
      <c r="AH626" s="181"/>
      <c r="AI626" s="181"/>
      <c r="AJ626" s="181"/>
      <c r="AK626" s="181"/>
      <c r="AL626" s="181"/>
      <c r="AM626" s="181"/>
      <c r="AN626" s="181"/>
      <c r="AO626" s="181"/>
      <c r="AP626" s="181"/>
      <c r="AQ626" s="181"/>
      <c r="AR626" s="181"/>
      <c r="AS626" s="181"/>
      <c r="AT626" s="181"/>
      <c r="AU626" s="181"/>
      <c r="AV626" s="181"/>
      <c r="AW626" s="181"/>
    </row>
    <row r="627" spans="1:49" ht="13.5" customHeight="1" x14ac:dyDescent="0.3">
      <c r="A627" s="1"/>
      <c r="B627" s="181"/>
      <c r="C627" s="181"/>
      <c r="D627" s="181"/>
      <c r="E627" s="182"/>
      <c r="F627" s="182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  <c r="AC627" s="181"/>
      <c r="AD627" s="181"/>
      <c r="AE627" s="181"/>
      <c r="AF627" s="181"/>
      <c r="AG627" s="181"/>
      <c r="AH627" s="181"/>
      <c r="AI627" s="181"/>
      <c r="AJ627" s="181"/>
      <c r="AK627" s="181"/>
      <c r="AL627" s="181"/>
      <c r="AM627" s="181"/>
      <c r="AN627" s="181"/>
      <c r="AO627" s="181"/>
      <c r="AP627" s="181"/>
      <c r="AQ627" s="181"/>
      <c r="AR627" s="181"/>
      <c r="AS627" s="181"/>
      <c r="AT627" s="181"/>
      <c r="AU627" s="181"/>
      <c r="AV627" s="181"/>
      <c r="AW627" s="181"/>
    </row>
    <row r="628" spans="1:49" ht="13.5" customHeight="1" x14ac:dyDescent="0.3">
      <c r="A628" s="1"/>
      <c r="B628" s="181"/>
      <c r="C628" s="181"/>
      <c r="D628" s="181"/>
      <c r="E628" s="182"/>
      <c r="F628" s="182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  <c r="AC628" s="181"/>
      <c r="AD628" s="181"/>
      <c r="AE628" s="181"/>
      <c r="AF628" s="181"/>
      <c r="AG628" s="181"/>
      <c r="AH628" s="181"/>
      <c r="AI628" s="181"/>
      <c r="AJ628" s="181"/>
      <c r="AK628" s="181"/>
      <c r="AL628" s="181"/>
      <c r="AM628" s="181"/>
      <c r="AN628" s="181"/>
      <c r="AO628" s="181"/>
      <c r="AP628" s="181"/>
      <c r="AQ628" s="181"/>
      <c r="AR628" s="181"/>
      <c r="AS628" s="181"/>
      <c r="AT628" s="181"/>
      <c r="AU628" s="181"/>
      <c r="AV628" s="181"/>
      <c r="AW628" s="181"/>
    </row>
    <row r="629" spans="1:49" ht="13.5" customHeight="1" x14ac:dyDescent="0.3">
      <c r="A629" s="1"/>
      <c r="B629" s="181"/>
      <c r="C629" s="181"/>
      <c r="D629" s="181"/>
      <c r="E629" s="182"/>
      <c r="F629" s="182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  <c r="AC629" s="181"/>
      <c r="AD629" s="181"/>
      <c r="AE629" s="181"/>
      <c r="AF629" s="181"/>
      <c r="AG629" s="181"/>
      <c r="AH629" s="181"/>
      <c r="AI629" s="181"/>
      <c r="AJ629" s="181"/>
      <c r="AK629" s="181"/>
      <c r="AL629" s="181"/>
      <c r="AM629" s="181"/>
      <c r="AN629" s="181"/>
      <c r="AO629" s="181"/>
      <c r="AP629" s="181"/>
      <c r="AQ629" s="181"/>
      <c r="AR629" s="181"/>
      <c r="AS629" s="181"/>
      <c r="AT629" s="181"/>
      <c r="AU629" s="181"/>
      <c r="AV629" s="181"/>
      <c r="AW629" s="181"/>
    </row>
    <row r="630" spans="1:49" ht="13.5" customHeight="1" x14ac:dyDescent="0.3">
      <c r="A630" s="1"/>
      <c r="B630" s="181"/>
      <c r="C630" s="181"/>
      <c r="D630" s="181"/>
      <c r="E630" s="182"/>
      <c r="F630" s="182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  <c r="AC630" s="181"/>
      <c r="AD630" s="181"/>
      <c r="AE630" s="181"/>
      <c r="AF630" s="181"/>
      <c r="AG630" s="181"/>
      <c r="AH630" s="181"/>
      <c r="AI630" s="181"/>
      <c r="AJ630" s="181"/>
      <c r="AK630" s="181"/>
      <c r="AL630" s="181"/>
      <c r="AM630" s="181"/>
      <c r="AN630" s="181"/>
      <c r="AO630" s="181"/>
      <c r="AP630" s="181"/>
      <c r="AQ630" s="181"/>
      <c r="AR630" s="181"/>
      <c r="AS630" s="181"/>
      <c r="AT630" s="181"/>
      <c r="AU630" s="181"/>
      <c r="AV630" s="181"/>
      <c r="AW630" s="181"/>
    </row>
    <row r="631" spans="1:49" ht="13.5" customHeight="1" x14ac:dyDescent="0.3">
      <c r="A631" s="1"/>
      <c r="B631" s="181"/>
      <c r="C631" s="181"/>
      <c r="D631" s="181"/>
      <c r="E631" s="182"/>
      <c r="F631" s="182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  <c r="AC631" s="181"/>
      <c r="AD631" s="181"/>
      <c r="AE631" s="181"/>
      <c r="AF631" s="181"/>
      <c r="AG631" s="181"/>
      <c r="AH631" s="181"/>
      <c r="AI631" s="181"/>
      <c r="AJ631" s="181"/>
      <c r="AK631" s="181"/>
      <c r="AL631" s="181"/>
      <c r="AM631" s="181"/>
      <c r="AN631" s="181"/>
      <c r="AO631" s="181"/>
      <c r="AP631" s="181"/>
      <c r="AQ631" s="181"/>
      <c r="AR631" s="181"/>
      <c r="AS631" s="181"/>
      <c r="AT631" s="181"/>
      <c r="AU631" s="181"/>
      <c r="AV631" s="181"/>
      <c r="AW631" s="181"/>
    </row>
    <row r="632" spans="1:49" ht="13.5" customHeight="1" x14ac:dyDescent="0.3">
      <c r="A632" s="1"/>
      <c r="B632" s="181"/>
      <c r="C632" s="181"/>
      <c r="D632" s="181"/>
      <c r="E632" s="182"/>
      <c r="F632" s="182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  <c r="AC632" s="181"/>
      <c r="AD632" s="181"/>
      <c r="AE632" s="181"/>
      <c r="AF632" s="181"/>
      <c r="AG632" s="181"/>
      <c r="AH632" s="181"/>
      <c r="AI632" s="181"/>
      <c r="AJ632" s="181"/>
      <c r="AK632" s="181"/>
      <c r="AL632" s="181"/>
      <c r="AM632" s="181"/>
      <c r="AN632" s="181"/>
      <c r="AO632" s="181"/>
      <c r="AP632" s="181"/>
      <c r="AQ632" s="181"/>
      <c r="AR632" s="181"/>
      <c r="AS632" s="181"/>
      <c r="AT632" s="181"/>
      <c r="AU632" s="181"/>
      <c r="AV632" s="181"/>
      <c r="AW632" s="181"/>
    </row>
    <row r="633" spans="1:49" ht="13.5" customHeight="1" x14ac:dyDescent="0.3">
      <c r="A633" s="1"/>
      <c r="B633" s="181"/>
      <c r="C633" s="181"/>
      <c r="D633" s="181"/>
      <c r="E633" s="182"/>
      <c r="F633" s="182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  <c r="AC633" s="181"/>
      <c r="AD633" s="181"/>
      <c r="AE633" s="181"/>
      <c r="AF633" s="181"/>
      <c r="AG633" s="181"/>
      <c r="AH633" s="181"/>
      <c r="AI633" s="181"/>
      <c r="AJ633" s="181"/>
      <c r="AK633" s="181"/>
      <c r="AL633" s="181"/>
      <c r="AM633" s="181"/>
      <c r="AN633" s="181"/>
      <c r="AO633" s="181"/>
      <c r="AP633" s="181"/>
      <c r="AQ633" s="181"/>
      <c r="AR633" s="181"/>
      <c r="AS633" s="181"/>
      <c r="AT633" s="181"/>
      <c r="AU633" s="181"/>
      <c r="AV633" s="181"/>
      <c r="AW633" s="181"/>
    </row>
    <row r="634" spans="1:49" ht="13.5" customHeight="1" x14ac:dyDescent="0.3">
      <c r="A634" s="1"/>
      <c r="B634" s="181"/>
      <c r="C634" s="181"/>
      <c r="D634" s="181"/>
      <c r="E634" s="182"/>
      <c r="F634" s="182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  <c r="AC634" s="181"/>
      <c r="AD634" s="181"/>
      <c r="AE634" s="181"/>
      <c r="AF634" s="181"/>
      <c r="AG634" s="181"/>
      <c r="AH634" s="181"/>
      <c r="AI634" s="181"/>
      <c r="AJ634" s="181"/>
      <c r="AK634" s="181"/>
      <c r="AL634" s="181"/>
      <c r="AM634" s="181"/>
      <c r="AN634" s="181"/>
      <c r="AO634" s="181"/>
      <c r="AP634" s="181"/>
      <c r="AQ634" s="181"/>
      <c r="AR634" s="181"/>
      <c r="AS634" s="181"/>
      <c r="AT634" s="181"/>
      <c r="AU634" s="181"/>
      <c r="AV634" s="181"/>
      <c r="AW634" s="181"/>
    </row>
    <row r="635" spans="1:49" ht="13.5" customHeight="1" x14ac:dyDescent="0.3">
      <c r="A635" s="1"/>
      <c r="B635" s="181"/>
      <c r="C635" s="181"/>
      <c r="D635" s="181"/>
      <c r="E635" s="182"/>
      <c r="F635" s="182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  <c r="AC635" s="181"/>
      <c r="AD635" s="181"/>
      <c r="AE635" s="181"/>
      <c r="AF635" s="181"/>
      <c r="AG635" s="181"/>
      <c r="AH635" s="181"/>
      <c r="AI635" s="181"/>
      <c r="AJ635" s="181"/>
      <c r="AK635" s="181"/>
      <c r="AL635" s="181"/>
      <c r="AM635" s="181"/>
      <c r="AN635" s="181"/>
      <c r="AO635" s="181"/>
      <c r="AP635" s="181"/>
      <c r="AQ635" s="181"/>
      <c r="AR635" s="181"/>
      <c r="AS635" s="181"/>
      <c r="AT635" s="181"/>
      <c r="AU635" s="181"/>
      <c r="AV635" s="181"/>
      <c r="AW635" s="181"/>
    </row>
    <row r="636" spans="1:49" ht="13.5" customHeight="1" x14ac:dyDescent="0.3">
      <c r="A636" s="1"/>
      <c r="B636" s="181"/>
      <c r="C636" s="181"/>
      <c r="D636" s="181"/>
      <c r="E636" s="182"/>
      <c r="F636" s="182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  <c r="AC636" s="181"/>
      <c r="AD636" s="181"/>
      <c r="AE636" s="181"/>
      <c r="AF636" s="181"/>
      <c r="AG636" s="181"/>
      <c r="AH636" s="181"/>
      <c r="AI636" s="181"/>
      <c r="AJ636" s="181"/>
      <c r="AK636" s="181"/>
      <c r="AL636" s="181"/>
      <c r="AM636" s="181"/>
      <c r="AN636" s="181"/>
      <c r="AO636" s="181"/>
      <c r="AP636" s="181"/>
      <c r="AQ636" s="181"/>
      <c r="AR636" s="181"/>
      <c r="AS636" s="181"/>
      <c r="AT636" s="181"/>
      <c r="AU636" s="181"/>
      <c r="AV636" s="181"/>
      <c r="AW636" s="181"/>
    </row>
    <row r="637" spans="1:49" ht="13.5" customHeight="1" x14ac:dyDescent="0.3">
      <c r="A637" s="1"/>
      <c r="B637" s="181"/>
      <c r="C637" s="181"/>
      <c r="D637" s="181"/>
      <c r="E637" s="182"/>
      <c r="F637" s="182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  <c r="AC637" s="181"/>
      <c r="AD637" s="181"/>
      <c r="AE637" s="181"/>
      <c r="AF637" s="181"/>
      <c r="AG637" s="181"/>
      <c r="AH637" s="181"/>
      <c r="AI637" s="181"/>
      <c r="AJ637" s="181"/>
      <c r="AK637" s="181"/>
      <c r="AL637" s="181"/>
      <c r="AM637" s="181"/>
      <c r="AN637" s="181"/>
      <c r="AO637" s="181"/>
      <c r="AP637" s="181"/>
      <c r="AQ637" s="181"/>
      <c r="AR637" s="181"/>
      <c r="AS637" s="181"/>
      <c r="AT637" s="181"/>
      <c r="AU637" s="181"/>
      <c r="AV637" s="181"/>
      <c r="AW637" s="181"/>
    </row>
    <row r="638" spans="1:49" ht="13.5" customHeight="1" x14ac:dyDescent="0.3">
      <c r="A638" s="1"/>
      <c r="B638" s="181"/>
      <c r="C638" s="181"/>
      <c r="D638" s="181"/>
      <c r="E638" s="182"/>
      <c r="F638" s="182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  <c r="AC638" s="181"/>
      <c r="AD638" s="181"/>
      <c r="AE638" s="181"/>
      <c r="AF638" s="181"/>
      <c r="AG638" s="181"/>
      <c r="AH638" s="181"/>
      <c r="AI638" s="181"/>
      <c r="AJ638" s="181"/>
      <c r="AK638" s="181"/>
      <c r="AL638" s="181"/>
      <c r="AM638" s="181"/>
      <c r="AN638" s="181"/>
      <c r="AO638" s="181"/>
      <c r="AP638" s="181"/>
      <c r="AQ638" s="181"/>
      <c r="AR638" s="181"/>
      <c r="AS638" s="181"/>
      <c r="AT638" s="181"/>
      <c r="AU638" s="181"/>
      <c r="AV638" s="181"/>
      <c r="AW638" s="181"/>
    </row>
    <row r="639" spans="1:49" ht="13.5" customHeight="1" x14ac:dyDescent="0.3">
      <c r="A639" s="1"/>
      <c r="B639" s="181"/>
      <c r="C639" s="181"/>
      <c r="D639" s="181"/>
      <c r="E639" s="182"/>
      <c r="F639" s="182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  <c r="AC639" s="181"/>
      <c r="AD639" s="181"/>
      <c r="AE639" s="181"/>
      <c r="AF639" s="181"/>
      <c r="AG639" s="181"/>
      <c r="AH639" s="181"/>
      <c r="AI639" s="181"/>
      <c r="AJ639" s="181"/>
      <c r="AK639" s="181"/>
      <c r="AL639" s="181"/>
      <c r="AM639" s="181"/>
      <c r="AN639" s="181"/>
      <c r="AO639" s="181"/>
      <c r="AP639" s="181"/>
      <c r="AQ639" s="181"/>
      <c r="AR639" s="181"/>
      <c r="AS639" s="181"/>
      <c r="AT639" s="181"/>
      <c r="AU639" s="181"/>
      <c r="AV639" s="181"/>
      <c r="AW639" s="181"/>
    </row>
    <row r="640" spans="1:49" ht="13.5" customHeight="1" x14ac:dyDescent="0.3">
      <c r="A640" s="1"/>
      <c r="B640" s="181"/>
      <c r="C640" s="181"/>
      <c r="D640" s="181"/>
      <c r="E640" s="182"/>
      <c r="F640" s="182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  <c r="AC640" s="181"/>
      <c r="AD640" s="181"/>
      <c r="AE640" s="181"/>
      <c r="AF640" s="181"/>
      <c r="AG640" s="181"/>
      <c r="AH640" s="181"/>
      <c r="AI640" s="181"/>
      <c r="AJ640" s="181"/>
      <c r="AK640" s="181"/>
      <c r="AL640" s="181"/>
      <c r="AM640" s="181"/>
      <c r="AN640" s="181"/>
      <c r="AO640" s="181"/>
      <c r="AP640" s="181"/>
      <c r="AQ640" s="181"/>
      <c r="AR640" s="181"/>
      <c r="AS640" s="181"/>
      <c r="AT640" s="181"/>
      <c r="AU640" s="181"/>
      <c r="AV640" s="181"/>
      <c r="AW640" s="181"/>
    </row>
    <row r="641" spans="1:49" ht="13.5" customHeight="1" x14ac:dyDescent="0.3">
      <c r="A641" s="1"/>
      <c r="B641" s="181"/>
      <c r="C641" s="181"/>
      <c r="D641" s="181"/>
      <c r="E641" s="182"/>
      <c r="F641" s="182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  <c r="AC641" s="181"/>
      <c r="AD641" s="181"/>
      <c r="AE641" s="181"/>
      <c r="AF641" s="181"/>
      <c r="AG641" s="181"/>
      <c r="AH641" s="181"/>
      <c r="AI641" s="181"/>
      <c r="AJ641" s="181"/>
      <c r="AK641" s="181"/>
      <c r="AL641" s="181"/>
      <c r="AM641" s="181"/>
      <c r="AN641" s="181"/>
      <c r="AO641" s="181"/>
      <c r="AP641" s="181"/>
      <c r="AQ641" s="181"/>
      <c r="AR641" s="181"/>
      <c r="AS641" s="181"/>
      <c r="AT641" s="181"/>
      <c r="AU641" s="181"/>
      <c r="AV641" s="181"/>
      <c r="AW641" s="181"/>
    </row>
    <row r="642" spans="1:49" ht="13.5" customHeight="1" x14ac:dyDescent="0.3">
      <c r="A642" s="1"/>
      <c r="B642" s="181"/>
      <c r="C642" s="181"/>
      <c r="D642" s="181"/>
      <c r="E642" s="182"/>
      <c r="F642" s="182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  <c r="AC642" s="181"/>
      <c r="AD642" s="181"/>
      <c r="AE642" s="181"/>
      <c r="AF642" s="181"/>
      <c r="AG642" s="181"/>
      <c r="AH642" s="181"/>
      <c r="AI642" s="181"/>
      <c r="AJ642" s="181"/>
      <c r="AK642" s="181"/>
      <c r="AL642" s="181"/>
      <c r="AM642" s="181"/>
      <c r="AN642" s="181"/>
      <c r="AO642" s="181"/>
      <c r="AP642" s="181"/>
      <c r="AQ642" s="181"/>
      <c r="AR642" s="181"/>
      <c r="AS642" s="181"/>
      <c r="AT642" s="181"/>
      <c r="AU642" s="181"/>
      <c r="AV642" s="181"/>
      <c r="AW642" s="181"/>
    </row>
    <row r="643" spans="1:49" ht="13.5" customHeight="1" x14ac:dyDescent="0.3">
      <c r="A643" s="1"/>
      <c r="B643" s="181"/>
      <c r="C643" s="181"/>
      <c r="D643" s="181"/>
      <c r="E643" s="182"/>
      <c r="F643" s="182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  <c r="AC643" s="181"/>
      <c r="AD643" s="181"/>
      <c r="AE643" s="181"/>
      <c r="AF643" s="181"/>
      <c r="AG643" s="181"/>
      <c r="AH643" s="181"/>
      <c r="AI643" s="181"/>
      <c r="AJ643" s="181"/>
      <c r="AK643" s="181"/>
      <c r="AL643" s="181"/>
      <c r="AM643" s="181"/>
      <c r="AN643" s="181"/>
      <c r="AO643" s="181"/>
      <c r="AP643" s="181"/>
      <c r="AQ643" s="181"/>
      <c r="AR643" s="181"/>
      <c r="AS643" s="181"/>
      <c r="AT643" s="181"/>
      <c r="AU643" s="181"/>
      <c r="AV643" s="181"/>
      <c r="AW643" s="181"/>
    </row>
    <row r="644" spans="1:49" ht="13.5" customHeight="1" x14ac:dyDescent="0.3">
      <c r="A644" s="1"/>
      <c r="B644" s="181"/>
      <c r="C644" s="181"/>
      <c r="D644" s="181"/>
      <c r="E644" s="182"/>
      <c r="F644" s="182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  <c r="AC644" s="181"/>
      <c r="AD644" s="181"/>
      <c r="AE644" s="181"/>
      <c r="AF644" s="181"/>
      <c r="AG644" s="181"/>
      <c r="AH644" s="181"/>
      <c r="AI644" s="181"/>
      <c r="AJ644" s="181"/>
      <c r="AK644" s="181"/>
      <c r="AL644" s="181"/>
      <c r="AM644" s="181"/>
      <c r="AN644" s="181"/>
      <c r="AO644" s="181"/>
      <c r="AP644" s="181"/>
      <c r="AQ644" s="181"/>
      <c r="AR644" s="181"/>
      <c r="AS644" s="181"/>
      <c r="AT644" s="181"/>
      <c r="AU644" s="181"/>
      <c r="AV644" s="181"/>
      <c r="AW644" s="181"/>
    </row>
    <row r="645" spans="1:49" ht="13.5" customHeight="1" x14ac:dyDescent="0.3">
      <c r="A645" s="1"/>
      <c r="B645" s="181"/>
      <c r="C645" s="181"/>
      <c r="D645" s="181"/>
      <c r="E645" s="182"/>
      <c r="F645" s="182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  <c r="AC645" s="181"/>
      <c r="AD645" s="181"/>
      <c r="AE645" s="181"/>
      <c r="AF645" s="181"/>
      <c r="AG645" s="181"/>
      <c r="AH645" s="181"/>
      <c r="AI645" s="181"/>
      <c r="AJ645" s="181"/>
      <c r="AK645" s="181"/>
      <c r="AL645" s="181"/>
      <c r="AM645" s="181"/>
      <c r="AN645" s="181"/>
      <c r="AO645" s="181"/>
      <c r="AP645" s="181"/>
      <c r="AQ645" s="181"/>
      <c r="AR645" s="181"/>
      <c r="AS645" s="181"/>
      <c r="AT645" s="181"/>
      <c r="AU645" s="181"/>
      <c r="AV645" s="181"/>
      <c r="AW645" s="181"/>
    </row>
    <row r="646" spans="1:49" ht="13.5" customHeight="1" x14ac:dyDescent="0.3">
      <c r="A646" s="1"/>
      <c r="B646" s="181"/>
      <c r="C646" s="181"/>
      <c r="D646" s="181"/>
      <c r="E646" s="182"/>
      <c r="F646" s="182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  <c r="AC646" s="181"/>
      <c r="AD646" s="181"/>
      <c r="AE646" s="181"/>
      <c r="AF646" s="181"/>
      <c r="AG646" s="181"/>
      <c r="AH646" s="181"/>
      <c r="AI646" s="181"/>
      <c r="AJ646" s="181"/>
      <c r="AK646" s="181"/>
      <c r="AL646" s="181"/>
      <c r="AM646" s="181"/>
      <c r="AN646" s="181"/>
      <c r="AO646" s="181"/>
      <c r="AP646" s="181"/>
      <c r="AQ646" s="181"/>
      <c r="AR646" s="181"/>
      <c r="AS646" s="181"/>
      <c r="AT646" s="181"/>
      <c r="AU646" s="181"/>
      <c r="AV646" s="181"/>
      <c r="AW646" s="181"/>
    </row>
    <row r="647" spans="1:49" ht="13.5" customHeight="1" x14ac:dyDescent="0.3">
      <c r="A647" s="1"/>
      <c r="B647" s="181"/>
      <c r="C647" s="181"/>
      <c r="D647" s="181"/>
      <c r="E647" s="182"/>
      <c r="F647" s="182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  <c r="AC647" s="181"/>
      <c r="AD647" s="181"/>
      <c r="AE647" s="181"/>
      <c r="AF647" s="181"/>
      <c r="AG647" s="181"/>
      <c r="AH647" s="181"/>
      <c r="AI647" s="181"/>
      <c r="AJ647" s="181"/>
      <c r="AK647" s="181"/>
      <c r="AL647" s="181"/>
      <c r="AM647" s="181"/>
      <c r="AN647" s="181"/>
      <c r="AO647" s="181"/>
      <c r="AP647" s="181"/>
      <c r="AQ647" s="181"/>
      <c r="AR647" s="181"/>
      <c r="AS647" s="181"/>
      <c r="AT647" s="181"/>
      <c r="AU647" s="181"/>
      <c r="AV647" s="181"/>
      <c r="AW647" s="181"/>
    </row>
    <row r="648" spans="1:49" ht="13.5" customHeight="1" x14ac:dyDescent="0.3">
      <c r="A648" s="1"/>
      <c r="B648" s="181"/>
      <c r="C648" s="181"/>
      <c r="D648" s="181"/>
      <c r="E648" s="182"/>
      <c r="F648" s="182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  <c r="AC648" s="181"/>
      <c r="AD648" s="181"/>
      <c r="AE648" s="181"/>
      <c r="AF648" s="181"/>
      <c r="AG648" s="181"/>
      <c r="AH648" s="181"/>
      <c r="AI648" s="181"/>
      <c r="AJ648" s="181"/>
      <c r="AK648" s="181"/>
      <c r="AL648" s="181"/>
      <c r="AM648" s="181"/>
      <c r="AN648" s="181"/>
      <c r="AO648" s="181"/>
      <c r="AP648" s="181"/>
      <c r="AQ648" s="181"/>
      <c r="AR648" s="181"/>
      <c r="AS648" s="181"/>
      <c r="AT648" s="181"/>
      <c r="AU648" s="181"/>
      <c r="AV648" s="181"/>
      <c r="AW648" s="181"/>
    </row>
    <row r="649" spans="1:49" ht="13.5" customHeight="1" x14ac:dyDescent="0.3">
      <c r="A649" s="1"/>
      <c r="B649" s="181"/>
      <c r="C649" s="181"/>
      <c r="D649" s="181"/>
      <c r="E649" s="182"/>
      <c r="F649" s="182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  <c r="AC649" s="181"/>
      <c r="AD649" s="181"/>
      <c r="AE649" s="181"/>
      <c r="AF649" s="181"/>
      <c r="AG649" s="181"/>
      <c r="AH649" s="181"/>
      <c r="AI649" s="181"/>
      <c r="AJ649" s="181"/>
      <c r="AK649" s="181"/>
      <c r="AL649" s="181"/>
      <c r="AM649" s="181"/>
      <c r="AN649" s="181"/>
      <c r="AO649" s="181"/>
      <c r="AP649" s="181"/>
      <c r="AQ649" s="181"/>
      <c r="AR649" s="181"/>
      <c r="AS649" s="181"/>
      <c r="AT649" s="181"/>
      <c r="AU649" s="181"/>
      <c r="AV649" s="181"/>
      <c r="AW649" s="181"/>
    </row>
    <row r="650" spans="1:49" ht="13.5" customHeight="1" x14ac:dyDescent="0.3">
      <c r="A650" s="1"/>
      <c r="B650" s="181"/>
      <c r="C650" s="181"/>
      <c r="D650" s="181"/>
      <c r="E650" s="182"/>
      <c r="F650" s="182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  <c r="AC650" s="181"/>
      <c r="AD650" s="181"/>
      <c r="AE650" s="181"/>
      <c r="AF650" s="181"/>
      <c r="AG650" s="181"/>
      <c r="AH650" s="181"/>
      <c r="AI650" s="181"/>
      <c r="AJ650" s="181"/>
      <c r="AK650" s="181"/>
      <c r="AL650" s="181"/>
      <c r="AM650" s="181"/>
      <c r="AN650" s="181"/>
      <c r="AO650" s="181"/>
      <c r="AP650" s="181"/>
      <c r="AQ650" s="181"/>
      <c r="AR650" s="181"/>
      <c r="AS650" s="181"/>
      <c r="AT650" s="181"/>
      <c r="AU650" s="181"/>
      <c r="AV650" s="181"/>
      <c r="AW650" s="181"/>
    </row>
    <row r="651" spans="1:49" ht="13.5" customHeight="1" x14ac:dyDescent="0.3">
      <c r="A651" s="1"/>
      <c r="B651" s="181"/>
      <c r="C651" s="181"/>
      <c r="D651" s="181"/>
      <c r="E651" s="182"/>
      <c r="F651" s="182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  <c r="AC651" s="181"/>
      <c r="AD651" s="181"/>
      <c r="AE651" s="181"/>
      <c r="AF651" s="181"/>
      <c r="AG651" s="181"/>
      <c r="AH651" s="181"/>
      <c r="AI651" s="181"/>
      <c r="AJ651" s="181"/>
      <c r="AK651" s="181"/>
      <c r="AL651" s="181"/>
      <c r="AM651" s="181"/>
      <c r="AN651" s="181"/>
      <c r="AO651" s="181"/>
      <c r="AP651" s="181"/>
      <c r="AQ651" s="181"/>
      <c r="AR651" s="181"/>
      <c r="AS651" s="181"/>
      <c r="AT651" s="181"/>
      <c r="AU651" s="181"/>
      <c r="AV651" s="181"/>
      <c r="AW651" s="181"/>
    </row>
    <row r="652" spans="1:49" ht="13.5" customHeight="1" x14ac:dyDescent="0.3">
      <c r="A652" s="1"/>
      <c r="B652" s="181"/>
      <c r="C652" s="181"/>
      <c r="D652" s="181"/>
      <c r="E652" s="182"/>
      <c r="F652" s="182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  <c r="AC652" s="181"/>
      <c r="AD652" s="181"/>
      <c r="AE652" s="181"/>
      <c r="AF652" s="181"/>
      <c r="AG652" s="181"/>
      <c r="AH652" s="181"/>
      <c r="AI652" s="181"/>
      <c r="AJ652" s="181"/>
      <c r="AK652" s="181"/>
      <c r="AL652" s="181"/>
      <c r="AM652" s="181"/>
      <c r="AN652" s="181"/>
      <c r="AO652" s="181"/>
      <c r="AP652" s="181"/>
      <c r="AQ652" s="181"/>
      <c r="AR652" s="181"/>
      <c r="AS652" s="181"/>
      <c r="AT652" s="181"/>
      <c r="AU652" s="181"/>
      <c r="AV652" s="181"/>
      <c r="AW652" s="181"/>
    </row>
    <row r="653" spans="1:49" ht="13.5" customHeight="1" x14ac:dyDescent="0.3">
      <c r="A653" s="1"/>
      <c r="B653" s="181"/>
      <c r="C653" s="181"/>
      <c r="D653" s="181"/>
      <c r="E653" s="182"/>
      <c r="F653" s="182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  <c r="AC653" s="181"/>
      <c r="AD653" s="181"/>
      <c r="AE653" s="181"/>
      <c r="AF653" s="181"/>
      <c r="AG653" s="181"/>
      <c r="AH653" s="181"/>
      <c r="AI653" s="181"/>
      <c r="AJ653" s="181"/>
      <c r="AK653" s="181"/>
      <c r="AL653" s="181"/>
      <c r="AM653" s="181"/>
      <c r="AN653" s="181"/>
      <c r="AO653" s="181"/>
      <c r="AP653" s="181"/>
      <c r="AQ653" s="181"/>
      <c r="AR653" s="181"/>
      <c r="AS653" s="181"/>
      <c r="AT653" s="181"/>
      <c r="AU653" s="181"/>
      <c r="AV653" s="181"/>
      <c r="AW653" s="181"/>
    </row>
    <row r="654" spans="1:49" ht="13.5" customHeight="1" x14ac:dyDescent="0.3">
      <c r="A654" s="1"/>
      <c r="B654" s="181"/>
      <c r="C654" s="181"/>
      <c r="D654" s="181"/>
      <c r="E654" s="182"/>
      <c r="F654" s="182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  <c r="AC654" s="181"/>
      <c r="AD654" s="181"/>
      <c r="AE654" s="181"/>
      <c r="AF654" s="181"/>
      <c r="AG654" s="181"/>
      <c r="AH654" s="181"/>
      <c r="AI654" s="181"/>
      <c r="AJ654" s="181"/>
      <c r="AK654" s="181"/>
      <c r="AL654" s="181"/>
      <c r="AM654" s="181"/>
      <c r="AN654" s="181"/>
      <c r="AO654" s="181"/>
      <c r="AP654" s="181"/>
      <c r="AQ654" s="181"/>
      <c r="AR654" s="181"/>
      <c r="AS654" s="181"/>
      <c r="AT654" s="181"/>
      <c r="AU654" s="181"/>
      <c r="AV654" s="181"/>
      <c r="AW654" s="181"/>
    </row>
    <row r="655" spans="1:49" ht="13.5" customHeight="1" x14ac:dyDescent="0.3">
      <c r="A655" s="1"/>
      <c r="B655" s="181"/>
      <c r="C655" s="181"/>
      <c r="D655" s="181"/>
      <c r="E655" s="182"/>
      <c r="F655" s="182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  <c r="AC655" s="181"/>
      <c r="AD655" s="181"/>
      <c r="AE655" s="181"/>
      <c r="AF655" s="181"/>
      <c r="AG655" s="181"/>
      <c r="AH655" s="181"/>
      <c r="AI655" s="181"/>
      <c r="AJ655" s="181"/>
      <c r="AK655" s="181"/>
      <c r="AL655" s="181"/>
      <c r="AM655" s="181"/>
      <c r="AN655" s="181"/>
      <c r="AO655" s="181"/>
      <c r="AP655" s="181"/>
      <c r="AQ655" s="181"/>
      <c r="AR655" s="181"/>
      <c r="AS655" s="181"/>
      <c r="AT655" s="181"/>
      <c r="AU655" s="181"/>
      <c r="AV655" s="181"/>
      <c r="AW655" s="181"/>
    </row>
    <row r="656" spans="1:49" ht="13.5" customHeight="1" x14ac:dyDescent="0.3">
      <c r="A656" s="1"/>
      <c r="B656" s="181"/>
      <c r="C656" s="181"/>
      <c r="D656" s="181"/>
      <c r="E656" s="182"/>
      <c r="F656" s="182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  <c r="AC656" s="181"/>
      <c r="AD656" s="181"/>
      <c r="AE656" s="181"/>
      <c r="AF656" s="181"/>
      <c r="AG656" s="181"/>
      <c r="AH656" s="181"/>
      <c r="AI656" s="181"/>
      <c r="AJ656" s="181"/>
      <c r="AK656" s="181"/>
      <c r="AL656" s="181"/>
      <c r="AM656" s="181"/>
      <c r="AN656" s="181"/>
      <c r="AO656" s="181"/>
      <c r="AP656" s="181"/>
      <c r="AQ656" s="181"/>
      <c r="AR656" s="181"/>
      <c r="AS656" s="181"/>
      <c r="AT656" s="181"/>
      <c r="AU656" s="181"/>
      <c r="AV656" s="181"/>
      <c r="AW656" s="181"/>
    </row>
    <row r="657" spans="1:49" ht="13.5" customHeight="1" x14ac:dyDescent="0.3">
      <c r="A657" s="1"/>
      <c r="B657" s="181"/>
      <c r="C657" s="181"/>
      <c r="D657" s="181"/>
      <c r="E657" s="182"/>
      <c r="F657" s="182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  <c r="AC657" s="181"/>
      <c r="AD657" s="181"/>
      <c r="AE657" s="181"/>
      <c r="AF657" s="181"/>
      <c r="AG657" s="181"/>
      <c r="AH657" s="181"/>
      <c r="AI657" s="181"/>
      <c r="AJ657" s="181"/>
      <c r="AK657" s="181"/>
      <c r="AL657" s="181"/>
      <c r="AM657" s="181"/>
      <c r="AN657" s="181"/>
      <c r="AO657" s="181"/>
      <c r="AP657" s="181"/>
      <c r="AQ657" s="181"/>
      <c r="AR657" s="181"/>
      <c r="AS657" s="181"/>
      <c r="AT657" s="181"/>
      <c r="AU657" s="181"/>
      <c r="AV657" s="181"/>
      <c r="AW657" s="181"/>
    </row>
    <row r="658" spans="1:49" ht="13.5" customHeight="1" x14ac:dyDescent="0.3">
      <c r="A658" s="1"/>
      <c r="B658" s="181"/>
      <c r="C658" s="181"/>
      <c r="D658" s="181"/>
      <c r="E658" s="182"/>
      <c r="F658" s="182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  <c r="AC658" s="181"/>
      <c r="AD658" s="181"/>
      <c r="AE658" s="181"/>
      <c r="AF658" s="181"/>
      <c r="AG658" s="181"/>
      <c r="AH658" s="181"/>
      <c r="AI658" s="181"/>
      <c r="AJ658" s="181"/>
      <c r="AK658" s="181"/>
      <c r="AL658" s="181"/>
      <c r="AM658" s="181"/>
      <c r="AN658" s="181"/>
      <c r="AO658" s="181"/>
      <c r="AP658" s="181"/>
      <c r="AQ658" s="181"/>
      <c r="AR658" s="181"/>
      <c r="AS658" s="181"/>
      <c r="AT658" s="181"/>
      <c r="AU658" s="181"/>
      <c r="AV658" s="181"/>
      <c r="AW658" s="181"/>
    </row>
    <row r="659" spans="1:49" ht="13.5" customHeight="1" x14ac:dyDescent="0.3">
      <c r="A659" s="1"/>
      <c r="B659" s="181"/>
      <c r="C659" s="181"/>
      <c r="D659" s="181"/>
      <c r="E659" s="182"/>
      <c r="F659" s="182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  <c r="AC659" s="181"/>
      <c r="AD659" s="181"/>
      <c r="AE659" s="181"/>
      <c r="AF659" s="181"/>
      <c r="AG659" s="181"/>
      <c r="AH659" s="181"/>
      <c r="AI659" s="181"/>
      <c r="AJ659" s="181"/>
      <c r="AK659" s="181"/>
      <c r="AL659" s="181"/>
      <c r="AM659" s="181"/>
      <c r="AN659" s="181"/>
      <c r="AO659" s="181"/>
      <c r="AP659" s="181"/>
      <c r="AQ659" s="181"/>
      <c r="AR659" s="181"/>
      <c r="AS659" s="181"/>
      <c r="AT659" s="181"/>
      <c r="AU659" s="181"/>
      <c r="AV659" s="181"/>
      <c r="AW659" s="181"/>
    </row>
    <row r="660" spans="1:49" ht="13.5" customHeight="1" x14ac:dyDescent="0.3">
      <c r="A660" s="1"/>
      <c r="B660" s="181"/>
      <c r="C660" s="181"/>
      <c r="D660" s="181"/>
      <c r="E660" s="182"/>
      <c r="F660" s="182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  <c r="AC660" s="181"/>
      <c r="AD660" s="181"/>
      <c r="AE660" s="181"/>
      <c r="AF660" s="181"/>
      <c r="AG660" s="181"/>
      <c r="AH660" s="181"/>
      <c r="AI660" s="181"/>
      <c r="AJ660" s="181"/>
      <c r="AK660" s="181"/>
      <c r="AL660" s="181"/>
      <c r="AM660" s="181"/>
      <c r="AN660" s="181"/>
      <c r="AO660" s="181"/>
      <c r="AP660" s="181"/>
      <c r="AQ660" s="181"/>
      <c r="AR660" s="181"/>
      <c r="AS660" s="181"/>
      <c r="AT660" s="181"/>
      <c r="AU660" s="181"/>
      <c r="AV660" s="181"/>
      <c r="AW660" s="181"/>
    </row>
    <row r="661" spans="1:49" ht="13.5" customHeight="1" x14ac:dyDescent="0.3">
      <c r="A661" s="1"/>
      <c r="B661" s="181"/>
      <c r="C661" s="181"/>
      <c r="D661" s="181"/>
      <c r="E661" s="182"/>
      <c r="F661" s="182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  <c r="AC661" s="181"/>
      <c r="AD661" s="181"/>
      <c r="AE661" s="181"/>
      <c r="AF661" s="181"/>
      <c r="AG661" s="181"/>
      <c r="AH661" s="181"/>
      <c r="AI661" s="181"/>
      <c r="AJ661" s="181"/>
      <c r="AK661" s="181"/>
      <c r="AL661" s="181"/>
      <c r="AM661" s="181"/>
      <c r="AN661" s="181"/>
      <c r="AO661" s="181"/>
      <c r="AP661" s="181"/>
      <c r="AQ661" s="181"/>
      <c r="AR661" s="181"/>
      <c r="AS661" s="181"/>
      <c r="AT661" s="181"/>
      <c r="AU661" s="181"/>
      <c r="AV661" s="181"/>
      <c r="AW661" s="181"/>
    </row>
    <row r="662" spans="1:49" ht="13.5" customHeight="1" x14ac:dyDescent="0.3">
      <c r="A662" s="1"/>
      <c r="B662" s="181"/>
      <c r="C662" s="181"/>
      <c r="D662" s="181"/>
      <c r="E662" s="182"/>
      <c r="F662" s="182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  <c r="AC662" s="181"/>
      <c r="AD662" s="181"/>
      <c r="AE662" s="181"/>
      <c r="AF662" s="181"/>
      <c r="AG662" s="181"/>
      <c r="AH662" s="181"/>
      <c r="AI662" s="181"/>
      <c r="AJ662" s="181"/>
      <c r="AK662" s="181"/>
      <c r="AL662" s="181"/>
      <c r="AM662" s="181"/>
      <c r="AN662" s="181"/>
      <c r="AO662" s="181"/>
      <c r="AP662" s="181"/>
      <c r="AQ662" s="181"/>
      <c r="AR662" s="181"/>
      <c r="AS662" s="181"/>
      <c r="AT662" s="181"/>
      <c r="AU662" s="181"/>
      <c r="AV662" s="181"/>
      <c r="AW662" s="181"/>
    </row>
    <row r="663" spans="1:49" ht="13.5" customHeight="1" x14ac:dyDescent="0.3">
      <c r="A663" s="1"/>
      <c r="B663" s="181"/>
      <c r="C663" s="181"/>
      <c r="D663" s="181"/>
      <c r="E663" s="182"/>
      <c r="F663" s="182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  <c r="AC663" s="181"/>
      <c r="AD663" s="181"/>
      <c r="AE663" s="181"/>
      <c r="AF663" s="181"/>
      <c r="AG663" s="181"/>
      <c r="AH663" s="181"/>
      <c r="AI663" s="181"/>
      <c r="AJ663" s="181"/>
      <c r="AK663" s="181"/>
      <c r="AL663" s="181"/>
      <c r="AM663" s="181"/>
      <c r="AN663" s="181"/>
      <c r="AO663" s="181"/>
      <c r="AP663" s="181"/>
      <c r="AQ663" s="181"/>
      <c r="AR663" s="181"/>
      <c r="AS663" s="181"/>
      <c r="AT663" s="181"/>
      <c r="AU663" s="181"/>
      <c r="AV663" s="181"/>
      <c r="AW663" s="181"/>
    </row>
    <row r="664" spans="1:49" ht="13.5" customHeight="1" x14ac:dyDescent="0.3">
      <c r="A664" s="1"/>
      <c r="B664" s="181"/>
      <c r="C664" s="181"/>
      <c r="D664" s="181"/>
      <c r="E664" s="182"/>
      <c r="F664" s="182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  <c r="AC664" s="181"/>
      <c r="AD664" s="181"/>
      <c r="AE664" s="181"/>
      <c r="AF664" s="181"/>
      <c r="AG664" s="181"/>
      <c r="AH664" s="181"/>
      <c r="AI664" s="181"/>
      <c r="AJ664" s="181"/>
      <c r="AK664" s="181"/>
      <c r="AL664" s="181"/>
      <c r="AM664" s="181"/>
      <c r="AN664" s="181"/>
      <c r="AO664" s="181"/>
      <c r="AP664" s="181"/>
      <c r="AQ664" s="181"/>
      <c r="AR664" s="181"/>
      <c r="AS664" s="181"/>
      <c r="AT664" s="181"/>
      <c r="AU664" s="181"/>
      <c r="AV664" s="181"/>
      <c r="AW664" s="181"/>
    </row>
    <row r="665" spans="1:49" ht="13.5" customHeight="1" x14ac:dyDescent="0.3">
      <c r="A665" s="1"/>
      <c r="B665" s="181"/>
      <c r="C665" s="181"/>
      <c r="D665" s="181"/>
      <c r="E665" s="182"/>
      <c r="F665" s="182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  <c r="AC665" s="181"/>
      <c r="AD665" s="181"/>
      <c r="AE665" s="181"/>
      <c r="AF665" s="181"/>
      <c r="AG665" s="181"/>
      <c r="AH665" s="181"/>
      <c r="AI665" s="181"/>
      <c r="AJ665" s="181"/>
      <c r="AK665" s="181"/>
      <c r="AL665" s="181"/>
      <c r="AM665" s="181"/>
      <c r="AN665" s="181"/>
      <c r="AO665" s="181"/>
      <c r="AP665" s="181"/>
      <c r="AQ665" s="181"/>
      <c r="AR665" s="181"/>
      <c r="AS665" s="181"/>
      <c r="AT665" s="181"/>
      <c r="AU665" s="181"/>
      <c r="AV665" s="181"/>
      <c r="AW665" s="181"/>
    </row>
    <row r="666" spans="1:49" ht="13.5" customHeight="1" x14ac:dyDescent="0.3">
      <c r="A666" s="1"/>
      <c r="B666" s="181"/>
      <c r="C666" s="181"/>
      <c r="D666" s="181"/>
      <c r="E666" s="182"/>
      <c r="F666" s="182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  <c r="AC666" s="181"/>
      <c r="AD666" s="181"/>
      <c r="AE666" s="181"/>
      <c r="AF666" s="181"/>
      <c r="AG666" s="181"/>
      <c r="AH666" s="181"/>
      <c r="AI666" s="181"/>
      <c r="AJ666" s="181"/>
      <c r="AK666" s="181"/>
      <c r="AL666" s="181"/>
      <c r="AM666" s="181"/>
      <c r="AN666" s="181"/>
      <c r="AO666" s="181"/>
      <c r="AP666" s="181"/>
      <c r="AQ666" s="181"/>
      <c r="AR666" s="181"/>
      <c r="AS666" s="181"/>
      <c r="AT666" s="181"/>
      <c r="AU666" s="181"/>
      <c r="AV666" s="181"/>
      <c r="AW666" s="181"/>
    </row>
    <row r="667" spans="1:49" ht="13.5" customHeight="1" x14ac:dyDescent="0.3">
      <c r="A667" s="1"/>
      <c r="B667" s="181"/>
      <c r="C667" s="181"/>
      <c r="D667" s="181"/>
      <c r="E667" s="182"/>
      <c r="F667" s="182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  <c r="AC667" s="181"/>
      <c r="AD667" s="181"/>
      <c r="AE667" s="181"/>
      <c r="AF667" s="181"/>
      <c r="AG667" s="181"/>
      <c r="AH667" s="181"/>
      <c r="AI667" s="181"/>
      <c r="AJ667" s="181"/>
      <c r="AK667" s="181"/>
      <c r="AL667" s="181"/>
      <c r="AM667" s="181"/>
      <c r="AN667" s="181"/>
      <c r="AO667" s="181"/>
      <c r="AP667" s="181"/>
      <c r="AQ667" s="181"/>
      <c r="AR667" s="181"/>
      <c r="AS667" s="181"/>
      <c r="AT667" s="181"/>
      <c r="AU667" s="181"/>
      <c r="AV667" s="181"/>
      <c r="AW667" s="181"/>
    </row>
    <row r="668" spans="1:49" ht="13.5" customHeight="1" x14ac:dyDescent="0.3">
      <c r="A668" s="1"/>
      <c r="B668" s="181"/>
      <c r="C668" s="181"/>
      <c r="D668" s="181"/>
      <c r="E668" s="182"/>
      <c r="F668" s="182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  <c r="AC668" s="181"/>
      <c r="AD668" s="181"/>
      <c r="AE668" s="181"/>
      <c r="AF668" s="181"/>
      <c r="AG668" s="181"/>
      <c r="AH668" s="181"/>
      <c r="AI668" s="181"/>
      <c r="AJ668" s="181"/>
      <c r="AK668" s="181"/>
      <c r="AL668" s="181"/>
      <c r="AM668" s="181"/>
      <c r="AN668" s="181"/>
      <c r="AO668" s="181"/>
      <c r="AP668" s="181"/>
      <c r="AQ668" s="181"/>
      <c r="AR668" s="181"/>
      <c r="AS668" s="181"/>
      <c r="AT668" s="181"/>
      <c r="AU668" s="181"/>
      <c r="AV668" s="181"/>
      <c r="AW668" s="181"/>
    </row>
    <row r="669" spans="1:49" ht="13.5" customHeight="1" x14ac:dyDescent="0.3">
      <c r="A669" s="1"/>
      <c r="B669" s="181"/>
      <c r="C669" s="181"/>
      <c r="D669" s="181"/>
      <c r="E669" s="182"/>
      <c r="F669" s="182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  <c r="AC669" s="181"/>
      <c r="AD669" s="181"/>
      <c r="AE669" s="181"/>
      <c r="AF669" s="181"/>
      <c r="AG669" s="181"/>
      <c r="AH669" s="181"/>
      <c r="AI669" s="181"/>
      <c r="AJ669" s="181"/>
      <c r="AK669" s="181"/>
      <c r="AL669" s="181"/>
      <c r="AM669" s="181"/>
      <c r="AN669" s="181"/>
      <c r="AO669" s="181"/>
      <c r="AP669" s="181"/>
      <c r="AQ669" s="181"/>
      <c r="AR669" s="181"/>
      <c r="AS669" s="181"/>
      <c r="AT669" s="181"/>
      <c r="AU669" s="181"/>
      <c r="AV669" s="181"/>
      <c r="AW669" s="181"/>
    </row>
    <row r="670" spans="1:49" ht="13.5" customHeight="1" x14ac:dyDescent="0.3">
      <c r="A670" s="1"/>
      <c r="B670" s="181"/>
      <c r="C670" s="181"/>
      <c r="D670" s="181"/>
      <c r="E670" s="182"/>
      <c r="F670" s="182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  <c r="AC670" s="181"/>
      <c r="AD670" s="181"/>
      <c r="AE670" s="181"/>
      <c r="AF670" s="181"/>
      <c r="AG670" s="181"/>
      <c r="AH670" s="181"/>
      <c r="AI670" s="181"/>
      <c r="AJ670" s="181"/>
      <c r="AK670" s="181"/>
      <c r="AL670" s="181"/>
      <c r="AM670" s="181"/>
      <c r="AN670" s="181"/>
      <c r="AO670" s="181"/>
      <c r="AP670" s="181"/>
      <c r="AQ670" s="181"/>
      <c r="AR670" s="181"/>
      <c r="AS670" s="181"/>
      <c r="AT670" s="181"/>
      <c r="AU670" s="181"/>
      <c r="AV670" s="181"/>
      <c r="AW670" s="181"/>
    </row>
    <row r="671" spans="1:49" ht="13.5" customHeight="1" x14ac:dyDescent="0.3">
      <c r="A671" s="1"/>
      <c r="B671" s="181"/>
      <c r="C671" s="181"/>
      <c r="D671" s="181"/>
      <c r="E671" s="182"/>
      <c r="F671" s="182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  <c r="AC671" s="181"/>
      <c r="AD671" s="181"/>
      <c r="AE671" s="181"/>
      <c r="AF671" s="181"/>
      <c r="AG671" s="181"/>
      <c r="AH671" s="181"/>
      <c r="AI671" s="181"/>
      <c r="AJ671" s="181"/>
      <c r="AK671" s="181"/>
      <c r="AL671" s="181"/>
      <c r="AM671" s="181"/>
      <c r="AN671" s="181"/>
      <c r="AO671" s="181"/>
      <c r="AP671" s="181"/>
      <c r="AQ671" s="181"/>
      <c r="AR671" s="181"/>
      <c r="AS671" s="181"/>
      <c r="AT671" s="181"/>
      <c r="AU671" s="181"/>
      <c r="AV671" s="181"/>
      <c r="AW671" s="181"/>
    </row>
    <row r="672" spans="1:49" ht="13.5" customHeight="1" x14ac:dyDescent="0.3">
      <c r="A672" s="1"/>
      <c r="B672" s="181"/>
      <c r="C672" s="181"/>
      <c r="D672" s="181"/>
      <c r="E672" s="182"/>
      <c r="F672" s="182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  <c r="AC672" s="181"/>
      <c r="AD672" s="181"/>
      <c r="AE672" s="181"/>
      <c r="AF672" s="181"/>
      <c r="AG672" s="181"/>
      <c r="AH672" s="181"/>
      <c r="AI672" s="181"/>
      <c r="AJ672" s="181"/>
      <c r="AK672" s="181"/>
      <c r="AL672" s="181"/>
      <c r="AM672" s="181"/>
      <c r="AN672" s="181"/>
      <c r="AO672" s="181"/>
      <c r="AP672" s="181"/>
      <c r="AQ672" s="181"/>
      <c r="AR672" s="181"/>
      <c r="AS672" s="181"/>
      <c r="AT672" s="181"/>
      <c r="AU672" s="181"/>
      <c r="AV672" s="181"/>
      <c r="AW672" s="181"/>
    </row>
    <row r="673" spans="1:49" ht="13.5" customHeight="1" x14ac:dyDescent="0.3">
      <c r="A673" s="1"/>
      <c r="B673" s="181"/>
      <c r="C673" s="181"/>
      <c r="D673" s="181"/>
      <c r="E673" s="182"/>
      <c r="F673" s="182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  <c r="AC673" s="181"/>
      <c r="AD673" s="181"/>
      <c r="AE673" s="181"/>
      <c r="AF673" s="181"/>
      <c r="AG673" s="181"/>
      <c r="AH673" s="181"/>
      <c r="AI673" s="181"/>
      <c r="AJ673" s="181"/>
      <c r="AK673" s="181"/>
      <c r="AL673" s="181"/>
      <c r="AM673" s="181"/>
      <c r="AN673" s="181"/>
      <c r="AO673" s="181"/>
      <c r="AP673" s="181"/>
      <c r="AQ673" s="181"/>
      <c r="AR673" s="181"/>
      <c r="AS673" s="181"/>
      <c r="AT673" s="181"/>
      <c r="AU673" s="181"/>
      <c r="AV673" s="181"/>
      <c r="AW673" s="181"/>
    </row>
    <row r="674" spans="1:49" ht="13.5" customHeight="1" x14ac:dyDescent="0.3">
      <c r="A674" s="1"/>
      <c r="B674" s="181"/>
      <c r="C674" s="181"/>
      <c r="D674" s="181"/>
      <c r="E674" s="182"/>
      <c r="F674" s="182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  <c r="AC674" s="181"/>
      <c r="AD674" s="181"/>
      <c r="AE674" s="181"/>
      <c r="AF674" s="181"/>
      <c r="AG674" s="181"/>
      <c r="AH674" s="181"/>
      <c r="AI674" s="181"/>
      <c r="AJ674" s="181"/>
      <c r="AK674" s="181"/>
      <c r="AL674" s="181"/>
      <c r="AM674" s="181"/>
      <c r="AN674" s="181"/>
      <c r="AO674" s="181"/>
      <c r="AP674" s="181"/>
      <c r="AQ674" s="181"/>
      <c r="AR674" s="181"/>
      <c r="AS674" s="181"/>
      <c r="AT674" s="181"/>
      <c r="AU674" s="181"/>
      <c r="AV674" s="181"/>
      <c r="AW674" s="181"/>
    </row>
    <row r="675" spans="1:49" ht="13.5" customHeight="1" x14ac:dyDescent="0.3">
      <c r="A675" s="1"/>
      <c r="B675" s="181"/>
      <c r="C675" s="181"/>
      <c r="D675" s="181"/>
      <c r="E675" s="182"/>
      <c r="F675" s="182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  <c r="AC675" s="181"/>
      <c r="AD675" s="181"/>
      <c r="AE675" s="181"/>
      <c r="AF675" s="181"/>
      <c r="AG675" s="181"/>
      <c r="AH675" s="181"/>
      <c r="AI675" s="181"/>
      <c r="AJ675" s="181"/>
      <c r="AK675" s="181"/>
      <c r="AL675" s="181"/>
      <c r="AM675" s="181"/>
      <c r="AN675" s="181"/>
      <c r="AO675" s="181"/>
      <c r="AP675" s="181"/>
      <c r="AQ675" s="181"/>
      <c r="AR675" s="181"/>
      <c r="AS675" s="181"/>
      <c r="AT675" s="181"/>
      <c r="AU675" s="181"/>
      <c r="AV675" s="181"/>
      <c r="AW675" s="181"/>
    </row>
    <row r="676" spans="1:49" ht="13.5" customHeight="1" x14ac:dyDescent="0.3">
      <c r="A676" s="1"/>
      <c r="B676" s="181"/>
      <c r="C676" s="181"/>
      <c r="D676" s="181"/>
      <c r="E676" s="182"/>
      <c r="F676" s="182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  <c r="AC676" s="181"/>
      <c r="AD676" s="181"/>
      <c r="AE676" s="181"/>
      <c r="AF676" s="181"/>
      <c r="AG676" s="181"/>
      <c r="AH676" s="181"/>
      <c r="AI676" s="181"/>
      <c r="AJ676" s="181"/>
      <c r="AK676" s="181"/>
      <c r="AL676" s="181"/>
      <c r="AM676" s="181"/>
      <c r="AN676" s="181"/>
      <c r="AO676" s="181"/>
      <c r="AP676" s="181"/>
      <c r="AQ676" s="181"/>
      <c r="AR676" s="181"/>
      <c r="AS676" s="181"/>
      <c r="AT676" s="181"/>
      <c r="AU676" s="181"/>
      <c r="AV676" s="181"/>
      <c r="AW676" s="181"/>
    </row>
    <row r="677" spans="1:49" ht="13.5" customHeight="1" x14ac:dyDescent="0.3">
      <c r="A677" s="1"/>
      <c r="B677" s="181"/>
      <c r="C677" s="181"/>
      <c r="D677" s="181"/>
      <c r="E677" s="182"/>
      <c r="F677" s="182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  <c r="AC677" s="181"/>
      <c r="AD677" s="181"/>
      <c r="AE677" s="181"/>
      <c r="AF677" s="181"/>
      <c r="AG677" s="181"/>
      <c r="AH677" s="181"/>
      <c r="AI677" s="181"/>
      <c r="AJ677" s="181"/>
      <c r="AK677" s="181"/>
      <c r="AL677" s="181"/>
      <c r="AM677" s="181"/>
      <c r="AN677" s="181"/>
      <c r="AO677" s="181"/>
      <c r="AP677" s="181"/>
      <c r="AQ677" s="181"/>
      <c r="AR677" s="181"/>
      <c r="AS677" s="181"/>
      <c r="AT677" s="181"/>
      <c r="AU677" s="181"/>
      <c r="AV677" s="181"/>
      <c r="AW677" s="181"/>
    </row>
    <row r="678" spans="1:49" ht="13.5" customHeight="1" x14ac:dyDescent="0.3">
      <c r="A678" s="1"/>
      <c r="B678" s="181"/>
      <c r="C678" s="181"/>
      <c r="D678" s="181"/>
      <c r="E678" s="182"/>
      <c r="F678" s="182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  <c r="AC678" s="181"/>
      <c r="AD678" s="181"/>
      <c r="AE678" s="181"/>
      <c r="AF678" s="181"/>
      <c r="AG678" s="181"/>
      <c r="AH678" s="181"/>
      <c r="AI678" s="181"/>
      <c r="AJ678" s="181"/>
      <c r="AK678" s="181"/>
      <c r="AL678" s="181"/>
      <c r="AM678" s="181"/>
      <c r="AN678" s="181"/>
      <c r="AO678" s="181"/>
      <c r="AP678" s="181"/>
      <c r="AQ678" s="181"/>
      <c r="AR678" s="181"/>
      <c r="AS678" s="181"/>
      <c r="AT678" s="181"/>
      <c r="AU678" s="181"/>
      <c r="AV678" s="181"/>
      <c r="AW678" s="181"/>
    </row>
    <row r="679" spans="1:49" ht="13.5" customHeight="1" x14ac:dyDescent="0.3">
      <c r="A679" s="1"/>
      <c r="B679" s="181"/>
      <c r="C679" s="181"/>
      <c r="D679" s="181"/>
      <c r="E679" s="182"/>
      <c r="F679" s="182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  <c r="AC679" s="181"/>
      <c r="AD679" s="181"/>
      <c r="AE679" s="181"/>
      <c r="AF679" s="181"/>
      <c r="AG679" s="181"/>
      <c r="AH679" s="181"/>
      <c r="AI679" s="181"/>
      <c r="AJ679" s="181"/>
      <c r="AK679" s="181"/>
      <c r="AL679" s="181"/>
      <c r="AM679" s="181"/>
      <c r="AN679" s="181"/>
      <c r="AO679" s="181"/>
      <c r="AP679" s="181"/>
      <c r="AQ679" s="181"/>
      <c r="AR679" s="181"/>
      <c r="AS679" s="181"/>
      <c r="AT679" s="181"/>
      <c r="AU679" s="181"/>
      <c r="AV679" s="181"/>
      <c r="AW679" s="181"/>
    </row>
    <row r="680" spans="1:49" ht="13.5" customHeight="1" x14ac:dyDescent="0.3">
      <c r="A680" s="1"/>
      <c r="B680" s="181"/>
      <c r="C680" s="181"/>
      <c r="D680" s="181"/>
      <c r="E680" s="182"/>
      <c r="F680" s="182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  <c r="AC680" s="181"/>
      <c r="AD680" s="181"/>
      <c r="AE680" s="181"/>
      <c r="AF680" s="181"/>
      <c r="AG680" s="181"/>
      <c r="AH680" s="181"/>
      <c r="AI680" s="181"/>
      <c r="AJ680" s="181"/>
      <c r="AK680" s="181"/>
      <c r="AL680" s="181"/>
      <c r="AM680" s="181"/>
      <c r="AN680" s="181"/>
      <c r="AO680" s="181"/>
      <c r="AP680" s="181"/>
      <c r="AQ680" s="181"/>
      <c r="AR680" s="181"/>
      <c r="AS680" s="181"/>
      <c r="AT680" s="181"/>
      <c r="AU680" s="181"/>
      <c r="AV680" s="181"/>
      <c r="AW680" s="181"/>
    </row>
    <row r="681" spans="1:49" ht="13.5" customHeight="1" x14ac:dyDescent="0.3">
      <c r="A681" s="1"/>
      <c r="B681" s="181"/>
      <c r="C681" s="181"/>
      <c r="D681" s="181"/>
      <c r="E681" s="182"/>
      <c r="F681" s="182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  <c r="AC681" s="181"/>
      <c r="AD681" s="181"/>
      <c r="AE681" s="181"/>
      <c r="AF681" s="181"/>
      <c r="AG681" s="181"/>
      <c r="AH681" s="181"/>
      <c r="AI681" s="181"/>
      <c r="AJ681" s="181"/>
      <c r="AK681" s="181"/>
      <c r="AL681" s="181"/>
      <c r="AM681" s="181"/>
      <c r="AN681" s="181"/>
      <c r="AO681" s="181"/>
      <c r="AP681" s="181"/>
      <c r="AQ681" s="181"/>
      <c r="AR681" s="181"/>
      <c r="AS681" s="181"/>
      <c r="AT681" s="181"/>
      <c r="AU681" s="181"/>
      <c r="AV681" s="181"/>
      <c r="AW681" s="181"/>
    </row>
    <row r="682" spans="1:49" ht="13.5" customHeight="1" x14ac:dyDescent="0.3">
      <c r="A682" s="1"/>
      <c r="B682" s="181"/>
      <c r="C682" s="181"/>
      <c r="D682" s="181"/>
      <c r="E682" s="182"/>
      <c r="F682" s="182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  <c r="AC682" s="181"/>
      <c r="AD682" s="181"/>
      <c r="AE682" s="181"/>
      <c r="AF682" s="181"/>
      <c r="AG682" s="181"/>
      <c r="AH682" s="181"/>
      <c r="AI682" s="181"/>
      <c r="AJ682" s="181"/>
      <c r="AK682" s="181"/>
      <c r="AL682" s="181"/>
      <c r="AM682" s="181"/>
      <c r="AN682" s="181"/>
      <c r="AO682" s="181"/>
      <c r="AP682" s="181"/>
      <c r="AQ682" s="181"/>
      <c r="AR682" s="181"/>
      <c r="AS682" s="181"/>
      <c r="AT682" s="181"/>
      <c r="AU682" s="181"/>
      <c r="AV682" s="181"/>
      <c r="AW682" s="181"/>
    </row>
    <row r="683" spans="1:49" ht="13.5" customHeight="1" x14ac:dyDescent="0.3">
      <c r="A683" s="1"/>
      <c r="B683" s="181"/>
      <c r="C683" s="181"/>
      <c r="D683" s="181"/>
      <c r="E683" s="182"/>
      <c r="F683" s="182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  <c r="AC683" s="181"/>
      <c r="AD683" s="181"/>
      <c r="AE683" s="181"/>
      <c r="AF683" s="181"/>
      <c r="AG683" s="181"/>
      <c r="AH683" s="181"/>
      <c r="AI683" s="181"/>
      <c r="AJ683" s="181"/>
      <c r="AK683" s="181"/>
      <c r="AL683" s="181"/>
      <c r="AM683" s="181"/>
      <c r="AN683" s="181"/>
      <c r="AO683" s="181"/>
      <c r="AP683" s="181"/>
      <c r="AQ683" s="181"/>
      <c r="AR683" s="181"/>
      <c r="AS683" s="181"/>
      <c r="AT683" s="181"/>
      <c r="AU683" s="181"/>
      <c r="AV683" s="181"/>
      <c r="AW683" s="181"/>
    </row>
    <row r="684" spans="1:49" ht="13.5" customHeight="1" x14ac:dyDescent="0.3">
      <c r="A684" s="1"/>
      <c r="B684" s="181"/>
      <c r="C684" s="181"/>
      <c r="D684" s="181"/>
      <c r="E684" s="182"/>
      <c r="F684" s="182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  <c r="AC684" s="181"/>
      <c r="AD684" s="181"/>
      <c r="AE684" s="181"/>
      <c r="AF684" s="181"/>
      <c r="AG684" s="181"/>
      <c r="AH684" s="181"/>
      <c r="AI684" s="181"/>
      <c r="AJ684" s="181"/>
      <c r="AK684" s="181"/>
      <c r="AL684" s="181"/>
      <c r="AM684" s="181"/>
      <c r="AN684" s="181"/>
      <c r="AO684" s="181"/>
      <c r="AP684" s="181"/>
      <c r="AQ684" s="181"/>
      <c r="AR684" s="181"/>
      <c r="AS684" s="181"/>
      <c r="AT684" s="181"/>
      <c r="AU684" s="181"/>
      <c r="AV684" s="181"/>
      <c r="AW684" s="181"/>
    </row>
    <row r="685" spans="1:49" ht="13.5" customHeight="1" x14ac:dyDescent="0.3">
      <c r="A685" s="1"/>
      <c r="B685" s="181"/>
      <c r="C685" s="181"/>
      <c r="D685" s="181"/>
      <c r="E685" s="182"/>
      <c r="F685" s="182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  <c r="AC685" s="181"/>
      <c r="AD685" s="181"/>
      <c r="AE685" s="181"/>
      <c r="AF685" s="181"/>
      <c r="AG685" s="181"/>
      <c r="AH685" s="181"/>
      <c r="AI685" s="181"/>
      <c r="AJ685" s="181"/>
      <c r="AK685" s="181"/>
      <c r="AL685" s="181"/>
      <c r="AM685" s="181"/>
      <c r="AN685" s="181"/>
      <c r="AO685" s="181"/>
      <c r="AP685" s="181"/>
      <c r="AQ685" s="181"/>
      <c r="AR685" s="181"/>
      <c r="AS685" s="181"/>
      <c r="AT685" s="181"/>
      <c r="AU685" s="181"/>
      <c r="AV685" s="181"/>
      <c r="AW685" s="181"/>
    </row>
    <row r="686" spans="1:49" ht="13.5" customHeight="1" x14ac:dyDescent="0.3">
      <c r="A686" s="1"/>
      <c r="B686" s="181"/>
      <c r="C686" s="181"/>
      <c r="D686" s="181"/>
      <c r="E686" s="182"/>
      <c r="F686" s="182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  <c r="AC686" s="181"/>
      <c r="AD686" s="181"/>
      <c r="AE686" s="181"/>
      <c r="AF686" s="181"/>
      <c r="AG686" s="181"/>
      <c r="AH686" s="181"/>
      <c r="AI686" s="181"/>
      <c r="AJ686" s="181"/>
      <c r="AK686" s="181"/>
      <c r="AL686" s="181"/>
      <c r="AM686" s="181"/>
      <c r="AN686" s="181"/>
      <c r="AO686" s="181"/>
      <c r="AP686" s="181"/>
      <c r="AQ686" s="181"/>
      <c r="AR686" s="181"/>
      <c r="AS686" s="181"/>
      <c r="AT686" s="181"/>
      <c r="AU686" s="181"/>
      <c r="AV686" s="181"/>
      <c r="AW686" s="181"/>
    </row>
    <row r="687" spans="1:49" ht="13.5" customHeight="1" x14ac:dyDescent="0.3">
      <c r="A687" s="1"/>
      <c r="B687" s="181"/>
      <c r="C687" s="181"/>
      <c r="D687" s="181"/>
      <c r="E687" s="182"/>
      <c r="F687" s="182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  <c r="AC687" s="181"/>
      <c r="AD687" s="181"/>
      <c r="AE687" s="181"/>
      <c r="AF687" s="181"/>
      <c r="AG687" s="181"/>
      <c r="AH687" s="181"/>
      <c r="AI687" s="181"/>
      <c r="AJ687" s="181"/>
      <c r="AK687" s="181"/>
      <c r="AL687" s="181"/>
      <c r="AM687" s="181"/>
      <c r="AN687" s="181"/>
      <c r="AO687" s="181"/>
      <c r="AP687" s="181"/>
      <c r="AQ687" s="181"/>
      <c r="AR687" s="181"/>
      <c r="AS687" s="181"/>
      <c r="AT687" s="181"/>
      <c r="AU687" s="181"/>
      <c r="AV687" s="181"/>
      <c r="AW687" s="181"/>
    </row>
    <row r="688" spans="1:49" ht="13.5" customHeight="1" x14ac:dyDescent="0.3">
      <c r="A688" s="1"/>
      <c r="B688" s="181"/>
      <c r="C688" s="181"/>
      <c r="D688" s="181"/>
      <c r="E688" s="182"/>
      <c r="F688" s="182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  <c r="AC688" s="181"/>
      <c r="AD688" s="181"/>
      <c r="AE688" s="181"/>
      <c r="AF688" s="181"/>
      <c r="AG688" s="181"/>
      <c r="AH688" s="181"/>
      <c r="AI688" s="181"/>
      <c r="AJ688" s="181"/>
      <c r="AK688" s="181"/>
      <c r="AL688" s="181"/>
      <c r="AM688" s="181"/>
      <c r="AN688" s="181"/>
      <c r="AO688" s="181"/>
      <c r="AP688" s="181"/>
      <c r="AQ688" s="181"/>
      <c r="AR688" s="181"/>
      <c r="AS688" s="181"/>
      <c r="AT688" s="181"/>
      <c r="AU688" s="181"/>
      <c r="AV688" s="181"/>
      <c r="AW688" s="181"/>
    </row>
    <row r="689" spans="1:49" ht="13.5" customHeight="1" x14ac:dyDescent="0.3">
      <c r="A689" s="1"/>
      <c r="B689" s="181"/>
      <c r="C689" s="181"/>
      <c r="D689" s="181"/>
      <c r="E689" s="182"/>
      <c r="F689" s="182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  <c r="AC689" s="181"/>
      <c r="AD689" s="181"/>
      <c r="AE689" s="181"/>
      <c r="AF689" s="181"/>
      <c r="AG689" s="181"/>
      <c r="AH689" s="181"/>
      <c r="AI689" s="181"/>
      <c r="AJ689" s="181"/>
      <c r="AK689" s="181"/>
      <c r="AL689" s="181"/>
      <c r="AM689" s="181"/>
      <c r="AN689" s="181"/>
      <c r="AO689" s="181"/>
      <c r="AP689" s="181"/>
      <c r="AQ689" s="181"/>
      <c r="AR689" s="181"/>
      <c r="AS689" s="181"/>
      <c r="AT689" s="181"/>
      <c r="AU689" s="181"/>
      <c r="AV689" s="181"/>
      <c r="AW689" s="181"/>
    </row>
    <row r="690" spans="1:49" ht="13.5" customHeight="1" x14ac:dyDescent="0.3">
      <c r="A690" s="1"/>
      <c r="B690" s="181"/>
      <c r="C690" s="181"/>
      <c r="D690" s="181"/>
      <c r="E690" s="182"/>
      <c r="F690" s="182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  <c r="AC690" s="181"/>
      <c r="AD690" s="181"/>
      <c r="AE690" s="181"/>
      <c r="AF690" s="181"/>
      <c r="AG690" s="181"/>
      <c r="AH690" s="181"/>
      <c r="AI690" s="181"/>
      <c r="AJ690" s="181"/>
      <c r="AK690" s="181"/>
      <c r="AL690" s="181"/>
      <c r="AM690" s="181"/>
      <c r="AN690" s="181"/>
      <c r="AO690" s="181"/>
      <c r="AP690" s="181"/>
      <c r="AQ690" s="181"/>
      <c r="AR690" s="181"/>
      <c r="AS690" s="181"/>
      <c r="AT690" s="181"/>
      <c r="AU690" s="181"/>
      <c r="AV690" s="181"/>
      <c r="AW690" s="181"/>
    </row>
    <row r="691" spans="1:49" ht="13.5" customHeight="1" x14ac:dyDescent="0.3">
      <c r="A691" s="1"/>
      <c r="B691" s="181"/>
      <c r="C691" s="181"/>
      <c r="D691" s="181"/>
      <c r="E691" s="182"/>
      <c r="F691" s="182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  <c r="AC691" s="181"/>
      <c r="AD691" s="181"/>
      <c r="AE691" s="181"/>
      <c r="AF691" s="181"/>
      <c r="AG691" s="181"/>
      <c r="AH691" s="181"/>
      <c r="AI691" s="181"/>
      <c r="AJ691" s="181"/>
      <c r="AK691" s="181"/>
      <c r="AL691" s="181"/>
      <c r="AM691" s="181"/>
      <c r="AN691" s="181"/>
      <c r="AO691" s="181"/>
      <c r="AP691" s="181"/>
      <c r="AQ691" s="181"/>
      <c r="AR691" s="181"/>
      <c r="AS691" s="181"/>
      <c r="AT691" s="181"/>
      <c r="AU691" s="181"/>
      <c r="AV691" s="181"/>
      <c r="AW691" s="181"/>
    </row>
    <row r="692" spans="1:49" ht="13.5" customHeight="1" x14ac:dyDescent="0.3">
      <c r="A692" s="1"/>
      <c r="B692" s="181"/>
      <c r="C692" s="181"/>
      <c r="D692" s="181"/>
      <c r="E692" s="182"/>
      <c r="F692" s="182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  <c r="AC692" s="181"/>
      <c r="AD692" s="181"/>
      <c r="AE692" s="181"/>
      <c r="AF692" s="181"/>
      <c r="AG692" s="181"/>
      <c r="AH692" s="181"/>
      <c r="AI692" s="181"/>
      <c r="AJ692" s="181"/>
      <c r="AK692" s="181"/>
      <c r="AL692" s="181"/>
      <c r="AM692" s="181"/>
      <c r="AN692" s="181"/>
      <c r="AO692" s="181"/>
      <c r="AP692" s="181"/>
      <c r="AQ692" s="181"/>
      <c r="AR692" s="181"/>
      <c r="AS692" s="181"/>
      <c r="AT692" s="181"/>
      <c r="AU692" s="181"/>
      <c r="AV692" s="181"/>
      <c r="AW692" s="181"/>
    </row>
    <row r="693" spans="1:49" ht="13.5" customHeight="1" x14ac:dyDescent="0.3">
      <c r="A693" s="1"/>
      <c r="B693" s="181"/>
      <c r="C693" s="181"/>
      <c r="D693" s="181"/>
      <c r="E693" s="182"/>
      <c r="F693" s="182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  <c r="AC693" s="181"/>
      <c r="AD693" s="181"/>
      <c r="AE693" s="181"/>
      <c r="AF693" s="181"/>
      <c r="AG693" s="181"/>
      <c r="AH693" s="181"/>
      <c r="AI693" s="181"/>
      <c r="AJ693" s="181"/>
      <c r="AK693" s="181"/>
      <c r="AL693" s="181"/>
      <c r="AM693" s="181"/>
      <c r="AN693" s="181"/>
      <c r="AO693" s="181"/>
      <c r="AP693" s="181"/>
      <c r="AQ693" s="181"/>
      <c r="AR693" s="181"/>
      <c r="AS693" s="181"/>
      <c r="AT693" s="181"/>
      <c r="AU693" s="181"/>
      <c r="AV693" s="181"/>
      <c r="AW693" s="181"/>
    </row>
    <row r="694" spans="1:49" ht="13.5" customHeight="1" x14ac:dyDescent="0.3">
      <c r="A694" s="1"/>
      <c r="B694" s="181"/>
      <c r="C694" s="181"/>
      <c r="D694" s="181"/>
      <c r="E694" s="182"/>
      <c r="F694" s="182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  <c r="AC694" s="181"/>
      <c r="AD694" s="181"/>
      <c r="AE694" s="181"/>
      <c r="AF694" s="181"/>
      <c r="AG694" s="181"/>
      <c r="AH694" s="181"/>
      <c r="AI694" s="181"/>
      <c r="AJ694" s="181"/>
      <c r="AK694" s="181"/>
      <c r="AL694" s="181"/>
      <c r="AM694" s="181"/>
      <c r="AN694" s="181"/>
      <c r="AO694" s="181"/>
      <c r="AP694" s="181"/>
      <c r="AQ694" s="181"/>
      <c r="AR694" s="181"/>
      <c r="AS694" s="181"/>
      <c r="AT694" s="181"/>
      <c r="AU694" s="181"/>
      <c r="AV694" s="181"/>
      <c r="AW694" s="181"/>
    </row>
    <row r="695" spans="1:49" ht="13.5" customHeight="1" x14ac:dyDescent="0.3">
      <c r="A695" s="1"/>
      <c r="B695" s="181"/>
      <c r="C695" s="181"/>
      <c r="D695" s="181"/>
      <c r="E695" s="182"/>
      <c r="F695" s="182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  <c r="AC695" s="181"/>
      <c r="AD695" s="181"/>
      <c r="AE695" s="181"/>
      <c r="AF695" s="181"/>
      <c r="AG695" s="181"/>
      <c r="AH695" s="181"/>
      <c r="AI695" s="181"/>
      <c r="AJ695" s="181"/>
      <c r="AK695" s="181"/>
      <c r="AL695" s="181"/>
      <c r="AM695" s="181"/>
      <c r="AN695" s="181"/>
      <c r="AO695" s="181"/>
      <c r="AP695" s="181"/>
      <c r="AQ695" s="181"/>
      <c r="AR695" s="181"/>
      <c r="AS695" s="181"/>
      <c r="AT695" s="181"/>
      <c r="AU695" s="181"/>
      <c r="AV695" s="181"/>
      <c r="AW695" s="181"/>
    </row>
    <row r="696" spans="1:49" ht="13.5" customHeight="1" x14ac:dyDescent="0.3">
      <c r="A696" s="1"/>
      <c r="B696" s="181"/>
      <c r="C696" s="181"/>
      <c r="D696" s="181"/>
      <c r="E696" s="182"/>
      <c r="F696" s="182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  <c r="AC696" s="181"/>
      <c r="AD696" s="181"/>
      <c r="AE696" s="181"/>
      <c r="AF696" s="181"/>
      <c r="AG696" s="181"/>
      <c r="AH696" s="181"/>
      <c r="AI696" s="181"/>
      <c r="AJ696" s="181"/>
      <c r="AK696" s="181"/>
      <c r="AL696" s="181"/>
      <c r="AM696" s="181"/>
      <c r="AN696" s="181"/>
      <c r="AO696" s="181"/>
      <c r="AP696" s="181"/>
      <c r="AQ696" s="181"/>
      <c r="AR696" s="181"/>
      <c r="AS696" s="181"/>
      <c r="AT696" s="181"/>
      <c r="AU696" s="181"/>
      <c r="AV696" s="181"/>
      <c r="AW696" s="181"/>
    </row>
    <row r="697" spans="1:49" ht="13.5" customHeight="1" x14ac:dyDescent="0.3">
      <c r="A697" s="1"/>
      <c r="B697" s="181"/>
      <c r="C697" s="181"/>
      <c r="D697" s="181"/>
      <c r="E697" s="182"/>
      <c r="F697" s="182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  <c r="AC697" s="181"/>
      <c r="AD697" s="181"/>
      <c r="AE697" s="181"/>
      <c r="AF697" s="181"/>
      <c r="AG697" s="181"/>
      <c r="AH697" s="181"/>
      <c r="AI697" s="181"/>
      <c r="AJ697" s="181"/>
      <c r="AK697" s="181"/>
      <c r="AL697" s="181"/>
      <c r="AM697" s="181"/>
      <c r="AN697" s="181"/>
      <c r="AO697" s="181"/>
      <c r="AP697" s="181"/>
      <c r="AQ697" s="181"/>
      <c r="AR697" s="181"/>
      <c r="AS697" s="181"/>
      <c r="AT697" s="181"/>
      <c r="AU697" s="181"/>
      <c r="AV697" s="181"/>
      <c r="AW697" s="181"/>
    </row>
    <row r="698" spans="1:49" ht="13.5" customHeight="1" x14ac:dyDescent="0.3">
      <c r="A698" s="1"/>
      <c r="B698" s="181"/>
      <c r="C698" s="181"/>
      <c r="D698" s="181"/>
      <c r="E698" s="182"/>
      <c r="F698" s="182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  <c r="AC698" s="181"/>
      <c r="AD698" s="181"/>
      <c r="AE698" s="181"/>
      <c r="AF698" s="181"/>
      <c r="AG698" s="181"/>
      <c r="AH698" s="181"/>
      <c r="AI698" s="181"/>
      <c r="AJ698" s="181"/>
      <c r="AK698" s="181"/>
      <c r="AL698" s="181"/>
      <c r="AM698" s="181"/>
      <c r="AN698" s="181"/>
      <c r="AO698" s="181"/>
      <c r="AP698" s="181"/>
      <c r="AQ698" s="181"/>
      <c r="AR698" s="181"/>
      <c r="AS698" s="181"/>
      <c r="AT698" s="181"/>
      <c r="AU698" s="181"/>
      <c r="AV698" s="181"/>
      <c r="AW698" s="181"/>
    </row>
    <row r="699" spans="1:49" ht="13.5" customHeight="1" x14ac:dyDescent="0.3">
      <c r="A699" s="1"/>
      <c r="B699" s="181"/>
      <c r="C699" s="181"/>
      <c r="D699" s="181"/>
      <c r="E699" s="182"/>
      <c r="F699" s="182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  <c r="AC699" s="181"/>
      <c r="AD699" s="181"/>
      <c r="AE699" s="181"/>
      <c r="AF699" s="181"/>
      <c r="AG699" s="181"/>
      <c r="AH699" s="181"/>
      <c r="AI699" s="181"/>
      <c r="AJ699" s="181"/>
      <c r="AK699" s="181"/>
      <c r="AL699" s="181"/>
      <c r="AM699" s="181"/>
      <c r="AN699" s="181"/>
      <c r="AO699" s="181"/>
      <c r="AP699" s="181"/>
      <c r="AQ699" s="181"/>
      <c r="AR699" s="181"/>
      <c r="AS699" s="181"/>
      <c r="AT699" s="181"/>
      <c r="AU699" s="181"/>
      <c r="AV699" s="181"/>
      <c r="AW699" s="181"/>
    </row>
    <row r="700" spans="1:49" ht="13.5" customHeight="1" x14ac:dyDescent="0.3">
      <c r="A700" s="1"/>
      <c r="B700" s="181"/>
      <c r="C700" s="181"/>
      <c r="D700" s="181"/>
      <c r="E700" s="182"/>
      <c r="F700" s="182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  <c r="AC700" s="181"/>
      <c r="AD700" s="181"/>
      <c r="AE700" s="181"/>
      <c r="AF700" s="181"/>
      <c r="AG700" s="181"/>
      <c r="AH700" s="181"/>
      <c r="AI700" s="181"/>
      <c r="AJ700" s="181"/>
      <c r="AK700" s="181"/>
      <c r="AL700" s="181"/>
      <c r="AM700" s="181"/>
      <c r="AN700" s="181"/>
      <c r="AO700" s="181"/>
      <c r="AP700" s="181"/>
      <c r="AQ700" s="181"/>
      <c r="AR700" s="181"/>
      <c r="AS700" s="181"/>
      <c r="AT700" s="181"/>
      <c r="AU700" s="181"/>
      <c r="AV700" s="181"/>
      <c r="AW700" s="181"/>
    </row>
    <row r="701" spans="1:49" ht="13.5" customHeight="1" x14ac:dyDescent="0.3">
      <c r="A701" s="1"/>
      <c r="B701" s="181"/>
      <c r="C701" s="181"/>
      <c r="D701" s="181"/>
      <c r="E701" s="182"/>
      <c r="F701" s="182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  <c r="AC701" s="181"/>
      <c r="AD701" s="181"/>
      <c r="AE701" s="181"/>
      <c r="AF701" s="181"/>
      <c r="AG701" s="181"/>
      <c r="AH701" s="181"/>
      <c r="AI701" s="181"/>
      <c r="AJ701" s="181"/>
      <c r="AK701" s="181"/>
      <c r="AL701" s="181"/>
      <c r="AM701" s="181"/>
      <c r="AN701" s="181"/>
      <c r="AO701" s="181"/>
      <c r="AP701" s="181"/>
      <c r="AQ701" s="181"/>
      <c r="AR701" s="181"/>
      <c r="AS701" s="181"/>
      <c r="AT701" s="181"/>
      <c r="AU701" s="181"/>
      <c r="AV701" s="181"/>
      <c r="AW701" s="181"/>
    </row>
    <row r="702" spans="1:49" ht="13.5" customHeight="1" x14ac:dyDescent="0.3">
      <c r="A702" s="1"/>
      <c r="B702" s="181"/>
      <c r="C702" s="181"/>
      <c r="D702" s="181"/>
      <c r="E702" s="182"/>
      <c r="F702" s="182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  <c r="AC702" s="181"/>
      <c r="AD702" s="181"/>
      <c r="AE702" s="181"/>
      <c r="AF702" s="181"/>
      <c r="AG702" s="181"/>
      <c r="AH702" s="181"/>
      <c r="AI702" s="181"/>
      <c r="AJ702" s="181"/>
      <c r="AK702" s="181"/>
      <c r="AL702" s="181"/>
      <c r="AM702" s="181"/>
      <c r="AN702" s="181"/>
      <c r="AO702" s="181"/>
      <c r="AP702" s="181"/>
      <c r="AQ702" s="181"/>
      <c r="AR702" s="181"/>
      <c r="AS702" s="181"/>
      <c r="AT702" s="181"/>
      <c r="AU702" s="181"/>
      <c r="AV702" s="181"/>
      <c r="AW702" s="181"/>
    </row>
    <row r="703" spans="1:49" ht="13.5" customHeight="1" x14ac:dyDescent="0.3">
      <c r="A703" s="1"/>
      <c r="B703" s="181"/>
      <c r="C703" s="181"/>
      <c r="D703" s="181"/>
      <c r="E703" s="182"/>
      <c r="F703" s="182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  <c r="AC703" s="181"/>
      <c r="AD703" s="181"/>
      <c r="AE703" s="181"/>
      <c r="AF703" s="181"/>
      <c r="AG703" s="181"/>
      <c r="AH703" s="181"/>
      <c r="AI703" s="181"/>
      <c r="AJ703" s="181"/>
      <c r="AK703" s="181"/>
      <c r="AL703" s="181"/>
      <c r="AM703" s="181"/>
      <c r="AN703" s="181"/>
      <c r="AO703" s="181"/>
      <c r="AP703" s="181"/>
      <c r="AQ703" s="181"/>
      <c r="AR703" s="181"/>
      <c r="AS703" s="181"/>
      <c r="AT703" s="181"/>
      <c r="AU703" s="181"/>
      <c r="AV703" s="181"/>
      <c r="AW703" s="181"/>
    </row>
    <row r="704" spans="1:49" ht="13.5" customHeight="1" x14ac:dyDescent="0.3">
      <c r="A704" s="1"/>
      <c r="B704" s="181"/>
      <c r="C704" s="181"/>
      <c r="D704" s="181"/>
      <c r="E704" s="182"/>
      <c r="F704" s="182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  <c r="AC704" s="181"/>
      <c r="AD704" s="181"/>
      <c r="AE704" s="181"/>
      <c r="AF704" s="181"/>
      <c r="AG704" s="181"/>
      <c r="AH704" s="181"/>
      <c r="AI704" s="181"/>
      <c r="AJ704" s="181"/>
      <c r="AK704" s="181"/>
      <c r="AL704" s="181"/>
      <c r="AM704" s="181"/>
      <c r="AN704" s="181"/>
      <c r="AO704" s="181"/>
      <c r="AP704" s="181"/>
      <c r="AQ704" s="181"/>
      <c r="AR704" s="181"/>
      <c r="AS704" s="181"/>
      <c r="AT704" s="181"/>
      <c r="AU704" s="181"/>
      <c r="AV704" s="181"/>
      <c r="AW704" s="181"/>
    </row>
    <row r="705" spans="1:49" ht="13.5" customHeight="1" x14ac:dyDescent="0.3">
      <c r="A705" s="1"/>
      <c r="B705" s="181"/>
      <c r="C705" s="181"/>
      <c r="D705" s="181"/>
      <c r="E705" s="182"/>
      <c r="F705" s="182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  <c r="AC705" s="181"/>
      <c r="AD705" s="181"/>
      <c r="AE705" s="181"/>
      <c r="AF705" s="181"/>
      <c r="AG705" s="181"/>
      <c r="AH705" s="181"/>
      <c r="AI705" s="181"/>
      <c r="AJ705" s="181"/>
      <c r="AK705" s="181"/>
      <c r="AL705" s="181"/>
      <c r="AM705" s="181"/>
      <c r="AN705" s="181"/>
      <c r="AO705" s="181"/>
      <c r="AP705" s="181"/>
      <c r="AQ705" s="181"/>
      <c r="AR705" s="181"/>
      <c r="AS705" s="181"/>
      <c r="AT705" s="181"/>
      <c r="AU705" s="181"/>
      <c r="AV705" s="181"/>
      <c r="AW705" s="181"/>
    </row>
    <row r="706" spans="1:49" ht="13.5" customHeight="1" x14ac:dyDescent="0.3">
      <c r="A706" s="1"/>
      <c r="B706" s="181"/>
      <c r="C706" s="181"/>
      <c r="D706" s="181"/>
      <c r="E706" s="182"/>
      <c r="F706" s="182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  <c r="AC706" s="181"/>
      <c r="AD706" s="181"/>
      <c r="AE706" s="181"/>
      <c r="AF706" s="181"/>
      <c r="AG706" s="181"/>
      <c r="AH706" s="181"/>
      <c r="AI706" s="181"/>
      <c r="AJ706" s="181"/>
      <c r="AK706" s="181"/>
      <c r="AL706" s="181"/>
      <c r="AM706" s="181"/>
      <c r="AN706" s="181"/>
      <c r="AO706" s="181"/>
      <c r="AP706" s="181"/>
      <c r="AQ706" s="181"/>
      <c r="AR706" s="181"/>
      <c r="AS706" s="181"/>
      <c r="AT706" s="181"/>
      <c r="AU706" s="181"/>
      <c r="AV706" s="181"/>
      <c r="AW706" s="181"/>
    </row>
    <row r="707" spans="1:49" ht="13.5" customHeight="1" x14ac:dyDescent="0.3">
      <c r="A707" s="1"/>
      <c r="B707" s="181"/>
      <c r="C707" s="181"/>
      <c r="D707" s="181"/>
      <c r="E707" s="182"/>
      <c r="F707" s="182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  <c r="AC707" s="181"/>
      <c r="AD707" s="181"/>
      <c r="AE707" s="181"/>
      <c r="AF707" s="181"/>
      <c r="AG707" s="181"/>
      <c r="AH707" s="181"/>
      <c r="AI707" s="181"/>
      <c r="AJ707" s="181"/>
      <c r="AK707" s="181"/>
      <c r="AL707" s="181"/>
      <c r="AM707" s="181"/>
      <c r="AN707" s="181"/>
      <c r="AO707" s="181"/>
      <c r="AP707" s="181"/>
      <c r="AQ707" s="181"/>
      <c r="AR707" s="181"/>
      <c r="AS707" s="181"/>
      <c r="AT707" s="181"/>
      <c r="AU707" s="181"/>
      <c r="AV707" s="181"/>
      <c r="AW707" s="181"/>
    </row>
    <row r="708" spans="1:49" ht="13.5" customHeight="1" x14ac:dyDescent="0.3">
      <c r="A708" s="1"/>
      <c r="B708" s="181"/>
      <c r="C708" s="181"/>
      <c r="D708" s="181"/>
      <c r="E708" s="182"/>
      <c r="F708" s="182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  <c r="AC708" s="181"/>
      <c r="AD708" s="181"/>
      <c r="AE708" s="181"/>
      <c r="AF708" s="181"/>
      <c r="AG708" s="181"/>
      <c r="AH708" s="181"/>
      <c r="AI708" s="181"/>
      <c r="AJ708" s="181"/>
      <c r="AK708" s="181"/>
      <c r="AL708" s="181"/>
      <c r="AM708" s="181"/>
      <c r="AN708" s="181"/>
      <c r="AO708" s="181"/>
      <c r="AP708" s="181"/>
      <c r="AQ708" s="181"/>
      <c r="AR708" s="181"/>
      <c r="AS708" s="181"/>
      <c r="AT708" s="181"/>
      <c r="AU708" s="181"/>
      <c r="AV708" s="181"/>
      <c r="AW708" s="181"/>
    </row>
    <row r="709" spans="1:49" ht="13.5" customHeight="1" x14ac:dyDescent="0.3">
      <c r="A709" s="1"/>
      <c r="B709" s="181"/>
      <c r="C709" s="181"/>
      <c r="D709" s="181"/>
      <c r="E709" s="182"/>
      <c r="F709" s="182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  <c r="AC709" s="181"/>
      <c r="AD709" s="181"/>
      <c r="AE709" s="181"/>
      <c r="AF709" s="181"/>
      <c r="AG709" s="181"/>
      <c r="AH709" s="181"/>
      <c r="AI709" s="181"/>
      <c r="AJ709" s="181"/>
      <c r="AK709" s="181"/>
      <c r="AL709" s="181"/>
      <c r="AM709" s="181"/>
      <c r="AN709" s="181"/>
      <c r="AO709" s="181"/>
      <c r="AP709" s="181"/>
      <c r="AQ709" s="181"/>
      <c r="AR709" s="181"/>
      <c r="AS709" s="181"/>
      <c r="AT709" s="181"/>
      <c r="AU709" s="181"/>
      <c r="AV709" s="181"/>
      <c r="AW709" s="181"/>
    </row>
    <row r="710" spans="1:49" ht="13.5" customHeight="1" x14ac:dyDescent="0.3">
      <c r="A710" s="1"/>
      <c r="B710" s="181"/>
      <c r="C710" s="181"/>
      <c r="D710" s="181"/>
      <c r="E710" s="182"/>
      <c r="F710" s="182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  <c r="AC710" s="181"/>
      <c r="AD710" s="181"/>
      <c r="AE710" s="181"/>
      <c r="AF710" s="181"/>
      <c r="AG710" s="181"/>
      <c r="AH710" s="181"/>
      <c r="AI710" s="181"/>
      <c r="AJ710" s="181"/>
      <c r="AK710" s="181"/>
      <c r="AL710" s="181"/>
      <c r="AM710" s="181"/>
      <c r="AN710" s="181"/>
      <c r="AO710" s="181"/>
      <c r="AP710" s="181"/>
      <c r="AQ710" s="181"/>
      <c r="AR710" s="181"/>
      <c r="AS710" s="181"/>
      <c r="AT710" s="181"/>
      <c r="AU710" s="181"/>
      <c r="AV710" s="181"/>
      <c r="AW710" s="181"/>
    </row>
    <row r="711" spans="1:49" ht="13.5" customHeight="1" x14ac:dyDescent="0.3">
      <c r="A711" s="1"/>
      <c r="B711" s="181"/>
      <c r="C711" s="181"/>
      <c r="D711" s="181"/>
      <c r="E711" s="182"/>
      <c r="F711" s="182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  <c r="AC711" s="181"/>
      <c r="AD711" s="181"/>
      <c r="AE711" s="181"/>
      <c r="AF711" s="181"/>
      <c r="AG711" s="181"/>
      <c r="AH711" s="181"/>
      <c r="AI711" s="181"/>
      <c r="AJ711" s="181"/>
      <c r="AK711" s="181"/>
      <c r="AL711" s="181"/>
      <c r="AM711" s="181"/>
      <c r="AN711" s="181"/>
      <c r="AO711" s="181"/>
      <c r="AP711" s="181"/>
      <c r="AQ711" s="181"/>
      <c r="AR711" s="181"/>
      <c r="AS711" s="181"/>
      <c r="AT711" s="181"/>
      <c r="AU711" s="181"/>
      <c r="AV711" s="181"/>
      <c r="AW711" s="181"/>
    </row>
    <row r="712" spans="1:49" ht="13.5" customHeight="1" x14ac:dyDescent="0.3">
      <c r="A712" s="1"/>
      <c r="B712" s="181"/>
      <c r="C712" s="181"/>
      <c r="D712" s="181"/>
      <c r="E712" s="182"/>
      <c r="F712" s="182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  <c r="AC712" s="181"/>
      <c r="AD712" s="181"/>
      <c r="AE712" s="181"/>
      <c r="AF712" s="181"/>
      <c r="AG712" s="181"/>
      <c r="AH712" s="181"/>
      <c r="AI712" s="181"/>
      <c r="AJ712" s="181"/>
      <c r="AK712" s="181"/>
      <c r="AL712" s="181"/>
      <c r="AM712" s="181"/>
      <c r="AN712" s="181"/>
      <c r="AO712" s="181"/>
      <c r="AP712" s="181"/>
      <c r="AQ712" s="181"/>
      <c r="AR712" s="181"/>
      <c r="AS712" s="181"/>
      <c r="AT712" s="181"/>
      <c r="AU712" s="181"/>
      <c r="AV712" s="181"/>
      <c r="AW712" s="181"/>
    </row>
    <row r="713" spans="1:49" ht="13.5" customHeight="1" x14ac:dyDescent="0.3">
      <c r="A713" s="1"/>
      <c r="B713" s="181"/>
      <c r="C713" s="181"/>
      <c r="D713" s="181"/>
      <c r="E713" s="182"/>
      <c r="F713" s="182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  <c r="AC713" s="181"/>
      <c r="AD713" s="181"/>
      <c r="AE713" s="181"/>
      <c r="AF713" s="181"/>
      <c r="AG713" s="181"/>
      <c r="AH713" s="181"/>
      <c r="AI713" s="181"/>
      <c r="AJ713" s="181"/>
      <c r="AK713" s="181"/>
      <c r="AL713" s="181"/>
      <c r="AM713" s="181"/>
      <c r="AN713" s="181"/>
      <c r="AO713" s="181"/>
      <c r="AP713" s="181"/>
      <c r="AQ713" s="181"/>
      <c r="AR713" s="181"/>
      <c r="AS713" s="181"/>
      <c r="AT713" s="181"/>
      <c r="AU713" s="181"/>
      <c r="AV713" s="181"/>
      <c r="AW713" s="181"/>
    </row>
    <row r="714" spans="1:49" ht="13.5" customHeight="1" x14ac:dyDescent="0.3">
      <c r="A714" s="1"/>
      <c r="B714" s="181"/>
      <c r="C714" s="181"/>
      <c r="D714" s="181"/>
      <c r="E714" s="182"/>
      <c r="F714" s="182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  <c r="AC714" s="181"/>
      <c r="AD714" s="181"/>
      <c r="AE714" s="181"/>
      <c r="AF714" s="181"/>
      <c r="AG714" s="181"/>
      <c r="AH714" s="181"/>
      <c r="AI714" s="181"/>
      <c r="AJ714" s="181"/>
      <c r="AK714" s="181"/>
      <c r="AL714" s="181"/>
      <c r="AM714" s="181"/>
      <c r="AN714" s="181"/>
      <c r="AO714" s="181"/>
      <c r="AP714" s="181"/>
      <c r="AQ714" s="181"/>
      <c r="AR714" s="181"/>
      <c r="AS714" s="181"/>
      <c r="AT714" s="181"/>
      <c r="AU714" s="181"/>
      <c r="AV714" s="181"/>
      <c r="AW714" s="181"/>
    </row>
    <row r="715" spans="1:49" ht="13.5" customHeight="1" x14ac:dyDescent="0.3">
      <c r="A715" s="1"/>
      <c r="B715" s="181"/>
      <c r="C715" s="181"/>
      <c r="D715" s="181"/>
      <c r="E715" s="182"/>
      <c r="F715" s="182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  <c r="AC715" s="181"/>
      <c r="AD715" s="181"/>
      <c r="AE715" s="181"/>
      <c r="AF715" s="181"/>
      <c r="AG715" s="181"/>
      <c r="AH715" s="181"/>
      <c r="AI715" s="181"/>
      <c r="AJ715" s="181"/>
      <c r="AK715" s="181"/>
      <c r="AL715" s="181"/>
      <c r="AM715" s="181"/>
      <c r="AN715" s="181"/>
      <c r="AO715" s="181"/>
      <c r="AP715" s="181"/>
      <c r="AQ715" s="181"/>
      <c r="AR715" s="181"/>
      <c r="AS715" s="181"/>
      <c r="AT715" s="181"/>
      <c r="AU715" s="181"/>
      <c r="AV715" s="181"/>
      <c r="AW715" s="181"/>
    </row>
    <row r="716" spans="1:49" ht="13.5" customHeight="1" x14ac:dyDescent="0.3">
      <c r="A716" s="1"/>
      <c r="B716" s="181"/>
      <c r="C716" s="181"/>
      <c r="D716" s="181"/>
      <c r="E716" s="182"/>
      <c r="F716" s="182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  <c r="AC716" s="181"/>
      <c r="AD716" s="181"/>
      <c r="AE716" s="181"/>
      <c r="AF716" s="181"/>
      <c r="AG716" s="181"/>
      <c r="AH716" s="181"/>
      <c r="AI716" s="181"/>
      <c r="AJ716" s="181"/>
      <c r="AK716" s="181"/>
      <c r="AL716" s="181"/>
      <c r="AM716" s="181"/>
      <c r="AN716" s="181"/>
      <c r="AO716" s="181"/>
      <c r="AP716" s="181"/>
      <c r="AQ716" s="181"/>
      <c r="AR716" s="181"/>
      <c r="AS716" s="181"/>
      <c r="AT716" s="181"/>
      <c r="AU716" s="181"/>
      <c r="AV716" s="181"/>
      <c r="AW716" s="181"/>
    </row>
    <row r="717" spans="1:49" ht="13.5" customHeight="1" x14ac:dyDescent="0.3">
      <c r="A717" s="1"/>
      <c r="B717" s="181"/>
      <c r="C717" s="181"/>
      <c r="D717" s="181"/>
      <c r="E717" s="182"/>
      <c r="F717" s="182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  <c r="AC717" s="181"/>
      <c r="AD717" s="181"/>
      <c r="AE717" s="181"/>
      <c r="AF717" s="181"/>
      <c r="AG717" s="181"/>
      <c r="AH717" s="181"/>
      <c r="AI717" s="181"/>
      <c r="AJ717" s="181"/>
      <c r="AK717" s="181"/>
      <c r="AL717" s="181"/>
      <c r="AM717" s="181"/>
      <c r="AN717" s="181"/>
      <c r="AO717" s="181"/>
      <c r="AP717" s="181"/>
      <c r="AQ717" s="181"/>
      <c r="AR717" s="181"/>
      <c r="AS717" s="181"/>
      <c r="AT717" s="181"/>
      <c r="AU717" s="181"/>
      <c r="AV717" s="181"/>
      <c r="AW717" s="181"/>
    </row>
    <row r="718" spans="1:49" ht="13.5" customHeight="1" x14ac:dyDescent="0.3">
      <c r="A718" s="1"/>
      <c r="B718" s="181"/>
      <c r="C718" s="181"/>
      <c r="D718" s="181"/>
      <c r="E718" s="182"/>
      <c r="F718" s="182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  <c r="AC718" s="181"/>
      <c r="AD718" s="181"/>
      <c r="AE718" s="181"/>
      <c r="AF718" s="181"/>
      <c r="AG718" s="181"/>
      <c r="AH718" s="181"/>
      <c r="AI718" s="181"/>
      <c r="AJ718" s="181"/>
      <c r="AK718" s="181"/>
      <c r="AL718" s="181"/>
      <c r="AM718" s="181"/>
      <c r="AN718" s="181"/>
      <c r="AO718" s="181"/>
      <c r="AP718" s="181"/>
      <c r="AQ718" s="181"/>
      <c r="AR718" s="181"/>
      <c r="AS718" s="181"/>
      <c r="AT718" s="181"/>
      <c r="AU718" s="181"/>
      <c r="AV718" s="181"/>
      <c r="AW718" s="181"/>
    </row>
    <row r="719" spans="1:49" ht="13.5" customHeight="1" x14ac:dyDescent="0.3">
      <c r="A719" s="1"/>
      <c r="B719" s="181"/>
      <c r="C719" s="181"/>
      <c r="D719" s="181"/>
      <c r="E719" s="182"/>
      <c r="F719" s="182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  <c r="AC719" s="181"/>
      <c r="AD719" s="181"/>
      <c r="AE719" s="181"/>
      <c r="AF719" s="181"/>
      <c r="AG719" s="181"/>
      <c r="AH719" s="181"/>
      <c r="AI719" s="181"/>
      <c r="AJ719" s="181"/>
      <c r="AK719" s="181"/>
      <c r="AL719" s="181"/>
      <c r="AM719" s="181"/>
      <c r="AN719" s="181"/>
      <c r="AO719" s="181"/>
      <c r="AP719" s="181"/>
      <c r="AQ719" s="181"/>
      <c r="AR719" s="181"/>
      <c r="AS719" s="181"/>
      <c r="AT719" s="181"/>
      <c r="AU719" s="181"/>
      <c r="AV719" s="181"/>
      <c r="AW719" s="181"/>
    </row>
    <row r="720" spans="1:49" ht="13.5" customHeight="1" x14ac:dyDescent="0.3">
      <c r="A720" s="1"/>
      <c r="B720" s="181"/>
      <c r="C720" s="181"/>
      <c r="D720" s="181"/>
      <c r="E720" s="182"/>
      <c r="F720" s="182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  <c r="AC720" s="181"/>
      <c r="AD720" s="181"/>
      <c r="AE720" s="181"/>
      <c r="AF720" s="181"/>
      <c r="AG720" s="181"/>
      <c r="AH720" s="181"/>
      <c r="AI720" s="181"/>
      <c r="AJ720" s="181"/>
      <c r="AK720" s="181"/>
      <c r="AL720" s="181"/>
      <c r="AM720" s="181"/>
      <c r="AN720" s="181"/>
      <c r="AO720" s="181"/>
      <c r="AP720" s="181"/>
      <c r="AQ720" s="181"/>
      <c r="AR720" s="181"/>
      <c r="AS720" s="181"/>
      <c r="AT720" s="181"/>
      <c r="AU720" s="181"/>
      <c r="AV720" s="181"/>
      <c r="AW720" s="181"/>
    </row>
    <row r="721" spans="1:49" ht="13.5" customHeight="1" x14ac:dyDescent="0.3">
      <c r="A721" s="1"/>
      <c r="B721" s="181"/>
      <c r="C721" s="181"/>
      <c r="D721" s="181"/>
      <c r="E721" s="182"/>
      <c r="F721" s="182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  <c r="AC721" s="181"/>
      <c r="AD721" s="181"/>
      <c r="AE721" s="181"/>
      <c r="AF721" s="181"/>
      <c r="AG721" s="181"/>
      <c r="AH721" s="181"/>
      <c r="AI721" s="181"/>
      <c r="AJ721" s="181"/>
      <c r="AK721" s="181"/>
      <c r="AL721" s="181"/>
      <c r="AM721" s="181"/>
      <c r="AN721" s="181"/>
      <c r="AO721" s="181"/>
      <c r="AP721" s="181"/>
      <c r="AQ721" s="181"/>
      <c r="AR721" s="181"/>
      <c r="AS721" s="181"/>
      <c r="AT721" s="181"/>
      <c r="AU721" s="181"/>
      <c r="AV721" s="181"/>
      <c r="AW721" s="181"/>
    </row>
    <row r="722" spans="1:49" ht="13.5" customHeight="1" x14ac:dyDescent="0.3">
      <c r="A722" s="1"/>
      <c r="B722" s="181"/>
      <c r="C722" s="181"/>
      <c r="D722" s="181"/>
      <c r="E722" s="182"/>
      <c r="F722" s="182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  <c r="AC722" s="181"/>
      <c r="AD722" s="181"/>
      <c r="AE722" s="181"/>
      <c r="AF722" s="181"/>
      <c r="AG722" s="181"/>
      <c r="AH722" s="181"/>
      <c r="AI722" s="181"/>
      <c r="AJ722" s="181"/>
      <c r="AK722" s="181"/>
      <c r="AL722" s="181"/>
      <c r="AM722" s="181"/>
      <c r="AN722" s="181"/>
      <c r="AO722" s="181"/>
      <c r="AP722" s="181"/>
      <c r="AQ722" s="181"/>
      <c r="AR722" s="181"/>
      <c r="AS722" s="181"/>
      <c r="AT722" s="181"/>
      <c r="AU722" s="181"/>
      <c r="AV722" s="181"/>
      <c r="AW722" s="181"/>
    </row>
    <row r="723" spans="1:49" ht="13.5" customHeight="1" x14ac:dyDescent="0.3">
      <c r="A723" s="1"/>
      <c r="B723" s="181"/>
      <c r="C723" s="181"/>
      <c r="D723" s="181"/>
      <c r="E723" s="182"/>
      <c r="F723" s="182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  <c r="AC723" s="181"/>
      <c r="AD723" s="181"/>
      <c r="AE723" s="181"/>
      <c r="AF723" s="181"/>
      <c r="AG723" s="181"/>
      <c r="AH723" s="181"/>
      <c r="AI723" s="181"/>
      <c r="AJ723" s="181"/>
      <c r="AK723" s="181"/>
      <c r="AL723" s="181"/>
      <c r="AM723" s="181"/>
      <c r="AN723" s="181"/>
      <c r="AO723" s="181"/>
      <c r="AP723" s="181"/>
      <c r="AQ723" s="181"/>
      <c r="AR723" s="181"/>
      <c r="AS723" s="181"/>
      <c r="AT723" s="181"/>
      <c r="AU723" s="181"/>
      <c r="AV723" s="181"/>
      <c r="AW723" s="181"/>
    </row>
    <row r="724" spans="1:49" ht="13.5" customHeight="1" x14ac:dyDescent="0.3">
      <c r="A724" s="1"/>
      <c r="B724" s="181"/>
      <c r="C724" s="181"/>
      <c r="D724" s="181"/>
      <c r="E724" s="182"/>
      <c r="F724" s="182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  <c r="AC724" s="181"/>
      <c r="AD724" s="181"/>
      <c r="AE724" s="181"/>
      <c r="AF724" s="181"/>
      <c r="AG724" s="181"/>
      <c r="AH724" s="181"/>
      <c r="AI724" s="181"/>
      <c r="AJ724" s="181"/>
      <c r="AK724" s="181"/>
      <c r="AL724" s="181"/>
      <c r="AM724" s="181"/>
      <c r="AN724" s="181"/>
      <c r="AO724" s="181"/>
      <c r="AP724" s="181"/>
      <c r="AQ724" s="181"/>
      <c r="AR724" s="181"/>
      <c r="AS724" s="181"/>
      <c r="AT724" s="181"/>
      <c r="AU724" s="181"/>
      <c r="AV724" s="181"/>
      <c r="AW724" s="181"/>
    </row>
    <row r="725" spans="1:49" ht="13.5" customHeight="1" x14ac:dyDescent="0.3">
      <c r="A725" s="1"/>
      <c r="B725" s="181"/>
      <c r="C725" s="181"/>
      <c r="D725" s="181"/>
      <c r="E725" s="182"/>
      <c r="F725" s="182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  <c r="AC725" s="181"/>
      <c r="AD725" s="181"/>
      <c r="AE725" s="181"/>
      <c r="AF725" s="181"/>
      <c r="AG725" s="181"/>
      <c r="AH725" s="181"/>
      <c r="AI725" s="181"/>
      <c r="AJ725" s="181"/>
      <c r="AK725" s="181"/>
      <c r="AL725" s="181"/>
      <c r="AM725" s="181"/>
      <c r="AN725" s="181"/>
      <c r="AO725" s="181"/>
      <c r="AP725" s="181"/>
      <c r="AQ725" s="181"/>
      <c r="AR725" s="181"/>
      <c r="AS725" s="181"/>
      <c r="AT725" s="181"/>
      <c r="AU725" s="181"/>
      <c r="AV725" s="181"/>
      <c r="AW725" s="181"/>
    </row>
    <row r="726" spans="1:49" ht="13.5" customHeight="1" x14ac:dyDescent="0.3">
      <c r="A726" s="1"/>
      <c r="B726" s="181"/>
      <c r="C726" s="181"/>
      <c r="D726" s="181"/>
      <c r="E726" s="182"/>
      <c r="F726" s="182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  <c r="AC726" s="181"/>
      <c r="AD726" s="181"/>
      <c r="AE726" s="181"/>
      <c r="AF726" s="181"/>
      <c r="AG726" s="181"/>
      <c r="AH726" s="181"/>
      <c r="AI726" s="181"/>
      <c r="AJ726" s="181"/>
      <c r="AK726" s="181"/>
      <c r="AL726" s="181"/>
      <c r="AM726" s="181"/>
      <c r="AN726" s="181"/>
      <c r="AO726" s="181"/>
      <c r="AP726" s="181"/>
      <c r="AQ726" s="181"/>
      <c r="AR726" s="181"/>
      <c r="AS726" s="181"/>
      <c r="AT726" s="181"/>
      <c r="AU726" s="181"/>
      <c r="AV726" s="181"/>
      <c r="AW726" s="181"/>
    </row>
    <row r="727" spans="1:49" ht="13.5" customHeight="1" x14ac:dyDescent="0.3">
      <c r="A727" s="1"/>
      <c r="B727" s="181"/>
      <c r="C727" s="181"/>
      <c r="D727" s="181"/>
      <c r="E727" s="182"/>
      <c r="F727" s="182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  <c r="AC727" s="181"/>
      <c r="AD727" s="181"/>
      <c r="AE727" s="181"/>
      <c r="AF727" s="181"/>
      <c r="AG727" s="181"/>
      <c r="AH727" s="181"/>
      <c r="AI727" s="181"/>
      <c r="AJ727" s="181"/>
      <c r="AK727" s="181"/>
      <c r="AL727" s="181"/>
      <c r="AM727" s="181"/>
      <c r="AN727" s="181"/>
      <c r="AO727" s="181"/>
      <c r="AP727" s="181"/>
      <c r="AQ727" s="181"/>
      <c r="AR727" s="181"/>
      <c r="AS727" s="181"/>
      <c r="AT727" s="181"/>
      <c r="AU727" s="181"/>
      <c r="AV727" s="181"/>
      <c r="AW727" s="181"/>
    </row>
    <row r="728" spans="1:49" ht="13.5" customHeight="1" x14ac:dyDescent="0.3">
      <c r="A728" s="1"/>
      <c r="B728" s="181"/>
      <c r="C728" s="181"/>
      <c r="D728" s="181"/>
      <c r="E728" s="182"/>
      <c r="F728" s="182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  <c r="AC728" s="181"/>
      <c r="AD728" s="181"/>
      <c r="AE728" s="181"/>
      <c r="AF728" s="181"/>
      <c r="AG728" s="181"/>
      <c r="AH728" s="181"/>
      <c r="AI728" s="181"/>
      <c r="AJ728" s="181"/>
      <c r="AK728" s="181"/>
      <c r="AL728" s="181"/>
      <c r="AM728" s="181"/>
      <c r="AN728" s="181"/>
      <c r="AO728" s="181"/>
      <c r="AP728" s="181"/>
      <c r="AQ728" s="181"/>
      <c r="AR728" s="181"/>
      <c r="AS728" s="181"/>
      <c r="AT728" s="181"/>
      <c r="AU728" s="181"/>
      <c r="AV728" s="181"/>
      <c r="AW728" s="181"/>
    </row>
    <row r="729" spans="1:49" ht="13.5" customHeight="1" x14ac:dyDescent="0.3">
      <c r="A729" s="1"/>
      <c r="B729" s="181"/>
      <c r="C729" s="181"/>
      <c r="D729" s="181"/>
      <c r="E729" s="182"/>
      <c r="F729" s="182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  <c r="AC729" s="181"/>
      <c r="AD729" s="181"/>
      <c r="AE729" s="181"/>
      <c r="AF729" s="181"/>
      <c r="AG729" s="181"/>
      <c r="AH729" s="181"/>
      <c r="AI729" s="181"/>
      <c r="AJ729" s="181"/>
      <c r="AK729" s="181"/>
      <c r="AL729" s="181"/>
      <c r="AM729" s="181"/>
      <c r="AN729" s="181"/>
      <c r="AO729" s="181"/>
      <c r="AP729" s="181"/>
      <c r="AQ729" s="181"/>
      <c r="AR729" s="181"/>
      <c r="AS729" s="181"/>
      <c r="AT729" s="181"/>
      <c r="AU729" s="181"/>
      <c r="AV729" s="181"/>
      <c r="AW729" s="181"/>
    </row>
    <row r="730" spans="1:49" ht="13.5" customHeight="1" x14ac:dyDescent="0.3">
      <c r="A730" s="1"/>
      <c r="B730" s="181"/>
      <c r="C730" s="181"/>
      <c r="D730" s="181"/>
      <c r="E730" s="182"/>
      <c r="F730" s="182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  <c r="AC730" s="181"/>
      <c r="AD730" s="181"/>
      <c r="AE730" s="181"/>
      <c r="AF730" s="181"/>
      <c r="AG730" s="181"/>
      <c r="AH730" s="181"/>
      <c r="AI730" s="181"/>
      <c r="AJ730" s="181"/>
      <c r="AK730" s="181"/>
      <c r="AL730" s="181"/>
      <c r="AM730" s="181"/>
      <c r="AN730" s="181"/>
      <c r="AO730" s="181"/>
      <c r="AP730" s="181"/>
      <c r="AQ730" s="181"/>
      <c r="AR730" s="181"/>
      <c r="AS730" s="181"/>
      <c r="AT730" s="181"/>
      <c r="AU730" s="181"/>
      <c r="AV730" s="181"/>
      <c r="AW730" s="181"/>
    </row>
    <row r="731" spans="1:49" ht="13.5" customHeight="1" x14ac:dyDescent="0.3">
      <c r="A731" s="1"/>
      <c r="B731" s="181"/>
      <c r="C731" s="181"/>
      <c r="D731" s="181"/>
      <c r="E731" s="182"/>
      <c r="F731" s="182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  <c r="AC731" s="181"/>
      <c r="AD731" s="181"/>
      <c r="AE731" s="181"/>
      <c r="AF731" s="181"/>
      <c r="AG731" s="181"/>
      <c r="AH731" s="181"/>
      <c r="AI731" s="181"/>
      <c r="AJ731" s="181"/>
      <c r="AK731" s="181"/>
      <c r="AL731" s="181"/>
      <c r="AM731" s="181"/>
      <c r="AN731" s="181"/>
      <c r="AO731" s="181"/>
      <c r="AP731" s="181"/>
      <c r="AQ731" s="181"/>
      <c r="AR731" s="181"/>
      <c r="AS731" s="181"/>
      <c r="AT731" s="181"/>
      <c r="AU731" s="181"/>
      <c r="AV731" s="181"/>
      <c r="AW731" s="181"/>
    </row>
    <row r="732" spans="1:49" ht="13.5" customHeight="1" x14ac:dyDescent="0.3">
      <c r="A732" s="1"/>
      <c r="B732" s="181"/>
      <c r="C732" s="181"/>
      <c r="D732" s="181"/>
      <c r="E732" s="182"/>
      <c r="F732" s="182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  <c r="AC732" s="181"/>
      <c r="AD732" s="181"/>
      <c r="AE732" s="181"/>
      <c r="AF732" s="181"/>
      <c r="AG732" s="181"/>
      <c r="AH732" s="181"/>
      <c r="AI732" s="181"/>
      <c r="AJ732" s="181"/>
      <c r="AK732" s="181"/>
      <c r="AL732" s="181"/>
      <c r="AM732" s="181"/>
      <c r="AN732" s="181"/>
      <c r="AO732" s="181"/>
      <c r="AP732" s="181"/>
      <c r="AQ732" s="181"/>
      <c r="AR732" s="181"/>
      <c r="AS732" s="181"/>
      <c r="AT732" s="181"/>
      <c r="AU732" s="181"/>
      <c r="AV732" s="181"/>
      <c r="AW732" s="181"/>
    </row>
    <row r="733" spans="1:49" ht="13.5" customHeight="1" x14ac:dyDescent="0.3">
      <c r="A733" s="1"/>
      <c r="B733" s="181"/>
      <c r="C733" s="181"/>
      <c r="D733" s="181"/>
      <c r="E733" s="182"/>
      <c r="F733" s="182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  <c r="AC733" s="181"/>
      <c r="AD733" s="181"/>
      <c r="AE733" s="181"/>
      <c r="AF733" s="181"/>
      <c r="AG733" s="181"/>
      <c r="AH733" s="181"/>
      <c r="AI733" s="181"/>
      <c r="AJ733" s="181"/>
      <c r="AK733" s="181"/>
      <c r="AL733" s="181"/>
      <c r="AM733" s="181"/>
      <c r="AN733" s="181"/>
      <c r="AO733" s="181"/>
      <c r="AP733" s="181"/>
      <c r="AQ733" s="181"/>
      <c r="AR733" s="181"/>
      <c r="AS733" s="181"/>
      <c r="AT733" s="181"/>
      <c r="AU733" s="181"/>
      <c r="AV733" s="181"/>
      <c r="AW733" s="181"/>
    </row>
    <row r="734" spans="1:49" ht="13.5" customHeight="1" x14ac:dyDescent="0.3">
      <c r="A734" s="1"/>
      <c r="B734" s="181"/>
      <c r="C734" s="181"/>
      <c r="D734" s="181"/>
      <c r="E734" s="182"/>
      <c r="F734" s="182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  <c r="AC734" s="181"/>
      <c r="AD734" s="181"/>
      <c r="AE734" s="181"/>
      <c r="AF734" s="181"/>
      <c r="AG734" s="181"/>
      <c r="AH734" s="181"/>
      <c r="AI734" s="181"/>
      <c r="AJ734" s="181"/>
      <c r="AK734" s="181"/>
      <c r="AL734" s="181"/>
      <c r="AM734" s="181"/>
      <c r="AN734" s="181"/>
      <c r="AO734" s="181"/>
      <c r="AP734" s="181"/>
      <c r="AQ734" s="181"/>
      <c r="AR734" s="181"/>
      <c r="AS734" s="181"/>
      <c r="AT734" s="181"/>
      <c r="AU734" s="181"/>
      <c r="AV734" s="181"/>
      <c r="AW734" s="181"/>
    </row>
    <row r="735" spans="1:49" ht="13.5" customHeight="1" x14ac:dyDescent="0.3">
      <c r="A735" s="1"/>
      <c r="B735" s="181"/>
      <c r="C735" s="181"/>
      <c r="D735" s="181"/>
      <c r="E735" s="182"/>
      <c r="F735" s="182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  <c r="AC735" s="181"/>
      <c r="AD735" s="181"/>
      <c r="AE735" s="181"/>
      <c r="AF735" s="181"/>
      <c r="AG735" s="181"/>
      <c r="AH735" s="181"/>
      <c r="AI735" s="181"/>
      <c r="AJ735" s="181"/>
      <c r="AK735" s="181"/>
      <c r="AL735" s="181"/>
      <c r="AM735" s="181"/>
      <c r="AN735" s="181"/>
      <c r="AO735" s="181"/>
      <c r="AP735" s="181"/>
      <c r="AQ735" s="181"/>
      <c r="AR735" s="181"/>
      <c r="AS735" s="181"/>
      <c r="AT735" s="181"/>
      <c r="AU735" s="181"/>
      <c r="AV735" s="181"/>
      <c r="AW735" s="181"/>
    </row>
    <row r="736" spans="1:49" ht="13.5" customHeight="1" x14ac:dyDescent="0.3">
      <c r="A736" s="1"/>
      <c r="B736" s="181"/>
      <c r="C736" s="181"/>
      <c r="D736" s="181"/>
      <c r="E736" s="182"/>
      <c r="F736" s="182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  <c r="AC736" s="181"/>
      <c r="AD736" s="181"/>
      <c r="AE736" s="181"/>
      <c r="AF736" s="181"/>
      <c r="AG736" s="181"/>
      <c r="AH736" s="181"/>
      <c r="AI736" s="181"/>
      <c r="AJ736" s="181"/>
      <c r="AK736" s="181"/>
      <c r="AL736" s="181"/>
      <c r="AM736" s="181"/>
      <c r="AN736" s="181"/>
      <c r="AO736" s="181"/>
      <c r="AP736" s="181"/>
      <c r="AQ736" s="181"/>
      <c r="AR736" s="181"/>
      <c r="AS736" s="181"/>
      <c r="AT736" s="181"/>
      <c r="AU736" s="181"/>
      <c r="AV736" s="181"/>
      <c r="AW736" s="181"/>
    </row>
    <row r="737" spans="1:49" ht="13.5" customHeight="1" x14ac:dyDescent="0.3">
      <c r="A737" s="1"/>
      <c r="B737" s="181"/>
      <c r="C737" s="181"/>
      <c r="D737" s="181"/>
      <c r="E737" s="182"/>
      <c r="F737" s="182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  <c r="AC737" s="181"/>
      <c r="AD737" s="181"/>
      <c r="AE737" s="181"/>
      <c r="AF737" s="181"/>
      <c r="AG737" s="181"/>
      <c r="AH737" s="181"/>
      <c r="AI737" s="181"/>
      <c r="AJ737" s="181"/>
      <c r="AK737" s="181"/>
      <c r="AL737" s="181"/>
      <c r="AM737" s="181"/>
      <c r="AN737" s="181"/>
      <c r="AO737" s="181"/>
      <c r="AP737" s="181"/>
      <c r="AQ737" s="181"/>
      <c r="AR737" s="181"/>
      <c r="AS737" s="181"/>
      <c r="AT737" s="181"/>
      <c r="AU737" s="181"/>
      <c r="AV737" s="181"/>
      <c r="AW737" s="181"/>
    </row>
    <row r="738" spans="1:49" ht="13.5" customHeight="1" x14ac:dyDescent="0.3">
      <c r="A738" s="1"/>
      <c r="B738" s="181"/>
      <c r="C738" s="181"/>
      <c r="D738" s="181"/>
      <c r="E738" s="182"/>
      <c r="F738" s="182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  <c r="AC738" s="181"/>
      <c r="AD738" s="181"/>
      <c r="AE738" s="181"/>
      <c r="AF738" s="181"/>
      <c r="AG738" s="181"/>
      <c r="AH738" s="181"/>
      <c r="AI738" s="181"/>
      <c r="AJ738" s="181"/>
      <c r="AK738" s="181"/>
      <c r="AL738" s="181"/>
      <c r="AM738" s="181"/>
      <c r="AN738" s="181"/>
      <c r="AO738" s="181"/>
      <c r="AP738" s="181"/>
      <c r="AQ738" s="181"/>
      <c r="AR738" s="181"/>
      <c r="AS738" s="181"/>
      <c r="AT738" s="181"/>
      <c r="AU738" s="181"/>
      <c r="AV738" s="181"/>
      <c r="AW738" s="181"/>
    </row>
    <row r="739" spans="1:49" ht="13.5" customHeight="1" x14ac:dyDescent="0.3">
      <c r="A739" s="1"/>
      <c r="B739" s="181"/>
      <c r="C739" s="181"/>
      <c r="D739" s="181"/>
      <c r="E739" s="182"/>
      <c r="F739" s="182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  <c r="AC739" s="181"/>
      <c r="AD739" s="181"/>
      <c r="AE739" s="181"/>
      <c r="AF739" s="181"/>
      <c r="AG739" s="181"/>
      <c r="AH739" s="181"/>
      <c r="AI739" s="181"/>
      <c r="AJ739" s="181"/>
      <c r="AK739" s="181"/>
      <c r="AL739" s="181"/>
      <c r="AM739" s="181"/>
      <c r="AN739" s="181"/>
      <c r="AO739" s="181"/>
      <c r="AP739" s="181"/>
      <c r="AQ739" s="181"/>
      <c r="AR739" s="181"/>
      <c r="AS739" s="181"/>
      <c r="AT739" s="181"/>
      <c r="AU739" s="181"/>
      <c r="AV739" s="181"/>
      <c r="AW739" s="181"/>
    </row>
    <row r="740" spans="1:49" ht="13.5" customHeight="1" x14ac:dyDescent="0.3">
      <c r="A740" s="1"/>
      <c r="B740" s="181"/>
      <c r="C740" s="181"/>
      <c r="D740" s="181"/>
      <c r="E740" s="182"/>
      <c r="F740" s="182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  <c r="AC740" s="181"/>
      <c r="AD740" s="181"/>
      <c r="AE740" s="181"/>
      <c r="AF740" s="181"/>
      <c r="AG740" s="181"/>
      <c r="AH740" s="181"/>
      <c r="AI740" s="181"/>
      <c r="AJ740" s="181"/>
      <c r="AK740" s="181"/>
      <c r="AL740" s="181"/>
      <c r="AM740" s="181"/>
      <c r="AN740" s="181"/>
      <c r="AO740" s="181"/>
      <c r="AP740" s="181"/>
      <c r="AQ740" s="181"/>
      <c r="AR740" s="181"/>
      <c r="AS740" s="181"/>
      <c r="AT740" s="181"/>
      <c r="AU740" s="181"/>
      <c r="AV740" s="181"/>
      <c r="AW740" s="181"/>
    </row>
    <row r="741" spans="1:49" ht="13.5" customHeight="1" x14ac:dyDescent="0.3">
      <c r="A741" s="1"/>
      <c r="B741" s="181"/>
      <c r="C741" s="181"/>
      <c r="D741" s="181"/>
      <c r="E741" s="182"/>
      <c r="F741" s="182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  <c r="AC741" s="181"/>
      <c r="AD741" s="181"/>
      <c r="AE741" s="181"/>
      <c r="AF741" s="181"/>
      <c r="AG741" s="181"/>
      <c r="AH741" s="181"/>
      <c r="AI741" s="181"/>
      <c r="AJ741" s="181"/>
      <c r="AK741" s="181"/>
      <c r="AL741" s="181"/>
      <c r="AM741" s="181"/>
      <c r="AN741" s="181"/>
      <c r="AO741" s="181"/>
      <c r="AP741" s="181"/>
      <c r="AQ741" s="181"/>
      <c r="AR741" s="181"/>
      <c r="AS741" s="181"/>
      <c r="AT741" s="181"/>
      <c r="AU741" s="181"/>
      <c r="AV741" s="181"/>
      <c r="AW741" s="181"/>
    </row>
    <row r="742" spans="1:49" ht="13.5" customHeight="1" x14ac:dyDescent="0.3">
      <c r="A742" s="1"/>
      <c r="B742" s="181"/>
      <c r="C742" s="181"/>
      <c r="D742" s="181"/>
      <c r="E742" s="182"/>
      <c r="F742" s="182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  <c r="AC742" s="181"/>
      <c r="AD742" s="181"/>
      <c r="AE742" s="181"/>
      <c r="AF742" s="181"/>
      <c r="AG742" s="181"/>
      <c r="AH742" s="181"/>
      <c r="AI742" s="181"/>
      <c r="AJ742" s="181"/>
      <c r="AK742" s="181"/>
      <c r="AL742" s="181"/>
      <c r="AM742" s="181"/>
      <c r="AN742" s="181"/>
      <c r="AO742" s="181"/>
      <c r="AP742" s="181"/>
      <c r="AQ742" s="181"/>
      <c r="AR742" s="181"/>
      <c r="AS742" s="181"/>
      <c r="AT742" s="181"/>
      <c r="AU742" s="181"/>
      <c r="AV742" s="181"/>
      <c r="AW742" s="181"/>
    </row>
    <row r="743" spans="1:49" ht="13.5" customHeight="1" x14ac:dyDescent="0.3">
      <c r="A743" s="1"/>
      <c r="B743" s="181"/>
      <c r="C743" s="181"/>
      <c r="D743" s="181"/>
      <c r="E743" s="182"/>
      <c r="F743" s="182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  <c r="AC743" s="181"/>
      <c r="AD743" s="181"/>
      <c r="AE743" s="181"/>
      <c r="AF743" s="181"/>
      <c r="AG743" s="181"/>
      <c r="AH743" s="181"/>
      <c r="AI743" s="181"/>
      <c r="AJ743" s="181"/>
      <c r="AK743" s="181"/>
      <c r="AL743" s="181"/>
      <c r="AM743" s="181"/>
      <c r="AN743" s="181"/>
      <c r="AO743" s="181"/>
      <c r="AP743" s="181"/>
      <c r="AQ743" s="181"/>
      <c r="AR743" s="181"/>
      <c r="AS743" s="181"/>
      <c r="AT743" s="181"/>
      <c r="AU743" s="181"/>
      <c r="AV743" s="181"/>
      <c r="AW743" s="181"/>
    </row>
    <row r="744" spans="1:49" ht="13.5" customHeight="1" x14ac:dyDescent="0.3">
      <c r="A744" s="1"/>
      <c r="B744" s="181"/>
      <c r="C744" s="181"/>
      <c r="D744" s="181"/>
      <c r="E744" s="182"/>
      <c r="F744" s="182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  <c r="AC744" s="181"/>
      <c r="AD744" s="181"/>
      <c r="AE744" s="181"/>
      <c r="AF744" s="181"/>
      <c r="AG744" s="181"/>
      <c r="AH744" s="181"/>
      <c r="AI744" s="181"/>
      <c r="AJ744" s="181"/>
      <c r="AK744" s="181"/>
      <c r="AL744" s="181"/>
      <c r="AM744" s="181"/>
      <c r="AN744" s="181"/>
      <c r="AO744" s="181"/>
      <c r="AP744" s="181"/>
      <c r="AQ744" s="181"/>
      <c r="AR744" s="181"/>
      <c r="AS744" s="181"/>
      <c r="AT744" s="181"/>
      <c r="AU744" s="181"/>
      <c r="AV744" s="181"/>
      <c r="AW744" s="181"/>
    </row>
    <row r="745" spans="1:49" ht="13.5" customHeight="1" x14ac:dyDescent="0.3">
      <c r="A745" s="1"/>
      <c r="B745" s="181"/>
      <c r="C745" s="181"/>
      <c r="D745" s="181"/>
      <c r="E745" s="182"/>
      <c r="F745" s="182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  <c r="AC745" s="181"/>
      <c r="AD745" s="181"/>
      <c r="AE745" s="181"/>
      <c r="AF745" s="181"/>
      <c r="AG745" s="181"/>
      <c r="AH745" s="181"/>
      <c r="AI745" s="181"/>
      <c r="AJ745" s="181"/>
      <c r="AK745" s="181"/>
      <c r="AL745" s="181"/>
      <c r="AM745" s="181"/>
      <c r="AN745" s="181"/>
      <c r="AO745" s="181"/>
      <c r="AP745" s="181"/>
      <c r="AQ745" s="181"/>
      <c r="AR745" s="181"/>
      <c r="AS745" s="181"/>
      <c r="AT745" s="181"/>
      <c r="AU745" s="181"/>
      <c r="AV745" s="181"/>
      <c r="AW745" s="181"/>
    </row>
    <row r="746" spans="1:49" ht="13.5" customHeight="1" x14ac:dyDescent="0.3">
      <c r="A746" s="1"/>
      <c r="B746" s="181"/>
      <c r="C746" s="181"/>
      <c r="D746" s="181"/>
      <c r="E746" s="182"/>
      <c r="F746" s="182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  <c r="AC746" s="181"/>
      <c r="AD746" s="181"/>
      <c r="AE746" s="181"/>
      <c r="AF746" s="181"/>
      <c r="AG746" s="181"/>
      <c r="AH746" s="181"/>
      <c r="AI746" s="181"/>
      <c r="AJ746" s="181"/>
      <c r="AK746" s="181"/>
      <c r="AL746" s="181"/>
      <c r="AM746" s="181"/>
      <c r="AN746" s="181"/>
      <c r="AO746" s="181"/>
      <c r="AP746" s="181"/>
      <c r="AQ746" s="181"/>
      <c r="AR746" s="181"/>
      <c r="AS746" s="181"/>
      <c r="AT746" s="181"/>
      <c r="AU746" s="181"/>
      <c r="AV746" s="181"/>
      <c r="AW746" s="181"/>
    </row>
    <row r="747" spans="1:49" ht="13.5" customHeight="1" x14ac:dyDescent="0.3">
      <c r="A747" s="1"/>
      <c r="B747" s="181"/>
      <c r="C747" s="181"/>
      <c r="D747" s="181"/>
      <c r="E747" s="182"/>
      <c r="F747" s="182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  <c r="AC747" s="181"/>
      <c r="AD747" s="181"/>
      <c r="AE747" s="181"/>
      <c r="AF747" s="181"/>
      <c r="AG747" s="181"/>
      <c r="AH747" s="181"/>
      <c r="AI747" s="181"/>
      <c r="AJ747" s="181"/>
      <c r="AK747" s="181"/>
      <c r="AL747" s="181"/>
      <c r="AM747" s="181"/>
      <c r="AN747" s="181"/>
      <c r="AO747" s="181"/>
      <c r="AP747" s="181"/>
      <c r="AQ747" s="181"/>
      <c r="AR747" s="181"/>
      <c r="AS747" s="181"/>
      <c r="AT747" s="181"/>
      <c r="AU747" s="181"/>
      <c r="AV747" s="181"/>
      <c r="AW747" s="181"/>
    </row>
    <row r="748" spans="1:49" ht="13.5" customHeight="1" x14ac:dyDescent="0.3">
      <c r="A748" s="1"/>
      <c r="B748" s="181"/>
      <c r="C748" s="181"/>
      <c r="D748" s="181"/>
      <c r="E748" s="182"/>
      <c r="F748" s="182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  <c r="AC748" s="181"/>
      <c r="AD748" s="181"/>
      <c r="AE748" s="181"/>
      <c r="AF748" s="181"/>
      <c r="AG748" s="181"/>
      <c r="AH748" s="181"/>
      <c r="AI748" s="181"/>
      <c r="AJ748" s="181"/>
      <c r="AK748" s="181"/>
      <c r="AL748" s="181"/>
      <c r="AM748" s="181"/>
      <c r="AN748" s="181"/>
      <c r="AO748" s="181"/>
      <c r="AP748" s="181"/>
      <c r="AQ748" s="181"/>
      <c r="AR748" s="181"/>
      <c r="AS748" s="181"/>
      <c r="AT748" s="181"/>
      <c r="AU748" s="181"/>
      <c r="AV748" s="181"/>
      <c r="AW748" s="181"/>
    </row>
    <row r="749" spans="1:49" ht="13.5" customHeight="1" x14ac:dyDescent="0.3">
      <c r="A749" s="1"/>
      <c r="B749" s="181"/>
      <c r="C749" s="181"/>
      <c r="D749" s="181"/>
      <c r="E749" s="182"/>
      <c r="F749" s="182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  <c r="AC749" s="181"/>
      <c r="AD749" s="181"/>
      <c r="AE749" s="181"/>
      <c r="AF749" s="181"/>
      <c r="AG749" s="181"/>
      <c r="AH749" s="181"/>
      <c r="AI749" s="181"/>
      <c r="AJ749" s="181"/>
      <c r="AK749" s="181"/>
      <c r="AL749" s="181"/>
      <c r="AM749" s="181"/>
      <c r="AN749" s="181"/>
      <c r="AO749" s="181"/>
      <c r="AP749" s="181"/>
      <c r="AQ749" s="181"/>
      <c r="AR749" s="181"/>
      <c r="AS749" s="181"/>
      <c r="AT749" s="181"/>
      <c r="AU749" s="181"/>
      <c r="AV749" s="181"/>
      <c r="AW749" s="181"/>
    </row>
    <row r="750" spans="1:49" ht="13.5" customHeight="1" x14ac:dyDescent="0.3">
      <c r="A750" s="1"/>
      <c r="B750" s="181"/>
      <c r="C750" s="181"/>
      <c r="D750" s="181"/>
      <c r="E750" s="182"/>
      <c r="F750" s="182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  <c r="AC750" s="181"/>
      <c r="AD750" s="181"/>
      <c r="AE750" s="181"/>
      <c r="AF750" s="181"/>
      <c r="AG750" s="181"/>
      <c r="AH750" s="181"/>
      <c r="AI750" s="181"/>
      <c r="AJ750" s="181"/>
      <c r="AK750" s="181"/>
      <c r="AL750" s="181"/>
      <c r="AM750" s="181"/>
      <c r="AN750" s="181"/>
      <c r="AO750" s="181"/>
      <c r="AP750" s="181"/>
      <c r="AQ750" s="181"/>
      <c r="AR750" s="181"/>
      <c r="AS750" s="181"/>
      <c r="AT750" s="181"/>
      <c r="AU750" s="181"/>
      <c r="AV750" s="181"/>
      <c r="AW750" s="181"/>
    </row>
    <row r="751" spans="1:49" ht="13.5" customHeight="1" x14ac:dyDescent="0.3">
      <c r="A751" s="1"/>
      <c r="B751" s="181"/>
      <c r="C751" s="181"/>
      <c r="D751" s="181"/>
      <c r="E751" s="182"/>
      <c r="F751" s="182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  <c r="AC751" s="181"/>
      <c r="AD751" s="181"/>
      <c r="AE751" s="181"/>
      <c r="AF751" s="181"/>
      <c r="AG751" s="181"/>
      <c r="AH751" s="181"/>
      <c r="AI751" s="181"/>
      <c r="AJ751" s="181"/>
      <c r="AK751" s="181"/>
      <c r="AL751" s="181"/>
      <c r="AM751" s="181"/>
      <c r="AN751" s="181"/>
      <c r="AO751" s="181"/>
      <c r="AP751" s="181"/>
      <c r="AQ751" s="181"/>
      <c r="AR751" s="181"/>
      <c r="AS751" s="181"/>
      <c r="AT751" s="181"/>
      <c r="AU751" s="181"/>
      <c r="AV751" s="181"/>
      <c r="AW751" s="181"/>
    </row>
    <row r="752" spans="1:49" ht="13.5" customHeight="1" x14ac:dyDescent="0.3">
      <c r="A752" s="1"/>
      <c r="B752" s="181"/>
      <c r="C752" s="181"/>
      <c r="D752" s="181"/>
      <c r="E752" s="182"/>
      <c r="F752" s="182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  <c r="AC752" s="181"/>
      <c r="AD752" s="181"/>
      <c r="AE752" s="181"/>
      <c r="AF752" s="181"/>
      <c r="AG752" s="181"/>
      <c r="AH752" s="181"/>
      <c r="AI752" s="181"/>
      <c r="AJ752" s="181"/>
      <c r="AK752" s="181"/>
      <c r="AL752" s="181"/>
      <c r="AM752" s="181"/>
      <c r="AN752" s="181"/>
      <c r="AO752" s="181"/>
      <c r="AP752" s="181"/>
      <c r="AQ752" s="181"/>
      <c r="AR752" s="181"/>
      <c r="AS752" s="181"/>
      <c r="AT752" s="181"/>
      <c r="AU752" s="181"/>
      <c r="AV752" s="181"/>
      <c r="AW752" s="181"/>
    </row>
    <row r="753" spans="1:49" ht="13.5" customHeight="1" x14ac:dyDescent="0.3">
      <c r="A753" s="1"/>
      <c r="B753" s="181"/>
      <c r="C753" s="181"/>
      <c r="D753" s="181"/>
      <c r="E753" s="182"/>
      <c r="F753" s="182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  <c r="AC753" s="181"/>
      <c r="AD753" s="181"/>
      <c r="AE753" s="181"/>
      <c r="AF753" s="181"/>
      <c r="AG753" s="181"/>
      <c r="AH753" s="181"/>
      <c r="AI753" s="181"/>
      <c r="AJ753" s="181"/>
      <c r="AK753" s="181"/>
      <c r="AL753" s="181"/>
      <c r="AM753" s="181"/>
      <c r="AN753" s="181"/>
      <c r="AO753" s="181"/>
      <c r="AP753" s="181"/>
      <c r="AQ753" s="181"/>
      <c r="AR753" s="181"/>
      <c r="AS753" s="181"/>
      <c r="AT753" s="181"/>
      <c r="AU753" s="181"/>
      <c r="AV753" s="181"/>
      <c r="AW753" s="181"/>
    </row>
    <row r="754" spans="1:49" ht="13.5" customHeight="1" x14ac:dyDescent="0.3">
      <c r="A754" s="1"/>
      <c r="B754" s="181"/>
      <c r="C754" s="181"/>
      <c r="D754" s="181"/>
      <c r="E754" s="182"/>
      <c r="F754" s="182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  <c r="AC754" s="181"/>
      <c r="AD754" s="181"/>
      <c r="AE754" s="181"/>
      <c r="AF754" s="181"/>
      <c r="AG754" s="181"/>
      <c r="AH754" s="181"/>
      <c r="AI754" s="181"/>
      <c r="AJ754" s="181"/>
      <c r="AK754" s="181"/>
      <c r="AL754" s="181"/>
      <c r="AM754" s="181"/>
      <c r="AN754" s="181"/>
      <c r="AO754" s="181"/>
      <c r="AP754" s="181"/>
      <c r="AQ754" s="181"/>
      <c r="AR754" s="181"/>
      <c r="AS754" s="181"/>
      <c r="AT754" s="181"/>
      <c r="AU754" s="181"/>
      <c r="AV754" s="181"/>
      <c r="AW754" s="181"/>
    </row>
    <row r="755" spans="1:49" ht="13.5" customHeight="1" x14ac:dyDescent="0.3">
      <c r="A755" s="1"/>
      <c r="B755" s="181"/>
      <c r="C755" s="181"/>
      <c r="D755" s="181"/>
      <c r="E755" s="182"/>
      <c r="F755" s="182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  <c r="AC755" s="181"/>
      <c r="AD755" s="181"/>
      <c r="AE755" s="181"/>
      <c r="AF755" s="181"/>
      <c r="AG755" s="181"/>
      <c r="AH755" s="181"/>
      <c r="AI755" s="181"/>
      <c r="AJ755" s="181"/>
      <c r="AK755" s="181"/>
      <c r="AL755" s="181"/>
      <c r="AM755" s="181"/>
      <c r="AN755" s="181"/>
      <c r="AO755" s="181"/>
      <c r="AP755" s="181"/>
      <c r="AQ755" s="181"/>
      <c r="AR755" s="181"/>
      <c r="AS755" s="181"/>
      <c r="AT755" s="181"/>
      <c r="AU755" s="181"/>
      <c r="AV755" s="181"/>
      <c r="AW755" s="181"/>
    </row>
    <row r="756" spans="1:49" ht="13.5" customHeight="1" x14ac:dyDescent="0.3">
      <c r="A756" s="1"/>
      <c r="B756" s="181"/>
      <c r="C756" s="181"/>
      <c r="D756" s="181"/>
      <c r="E756" s="182"/>
      <c r="F756" s="182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  <c r="AC756" s="181"/>
      <c r="AD756" s="181"/>
      <c r="AE756" s="181"/>
      <c r="AF756" s="181"/>
      <c r="AG756" s="181"/>
      <c r="AH756" s="181"/>
      <c r="AI756" s="181"/>
      <c r="AJ756" s="181"/>
      <c r="AK756" s="181"/>
      <c r="AL756" s="181"/>
      <c r="AM756" s="181"/>
      <c r="AN756" s="181"/>
      <c r="AO756" s="181"/>
      <c r="AP756" s="181"/>
      <c r="AQ756" s="181"/>
      <c r="AR756" s="181"/>
      <c r="AS756" s="181"/>
      <c r="AT756" s="181"/>
      <c r="AU756" s="181"/>
      <c r="AV756" s="181"/>
      <c r="AW756" s="181"/>
    </row>
    <row r="757" spans="1:49" ht="13.5" customHeight="1" x14ac:dyDescent="0.3">
      <c r="A757" s="1"/>
      <c r="B757" s="181"/>
      <c r="C757" s="181"/>
      <c r="D757" s="181"/>
      <c r="E757" s="182"/>
      <c r="F757" s="182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  <c r="AC757" s="181"/>
      <c r="AD757" s="181"/>
      <c r="AE757" s="181"/>
      <c r="AF757" s="181"/>
      <c r="AG757" s="181"/>
      <c r="AH757" s="181"/>
      <c r="AI757" s="181"/>
      <c r="AJ757" s="181"/>
      <c r="AK757" s="181"/>
      <c r="AL757" s="181"/>
      <c r="AM757" s="181"/>
      <c r="AN757" s="181"/>
      <c r="AO757" s="181"/>
      <c r="AP757" s="181"/>
      <c r="AQ757" s="181"/>
      <c r="AR757" s="181"/>
      <c r="AS757" s="181"/>
      <c r="AT757" s="181"/>
      <c r="AU757" s="181"/>
      <c r="AV757" s="181"/>
      <c r="AW757" s="181"/>
    </row>
    <row r="758" spans="1:49" ht="13.5" customHeight="1" x14ac:dyDescent="0.3">
      <c r="A758" s="1"/>
      <c r="B758" s="181"/>
      <c r="C758" s="181"/>
      <c r="D758" s="181"/>
      <c r="E758" s="182"/>
      <c r="F758" s="182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  <c r="AC758" s="181"/>
      <c r="AD758" s="181"/>
      <c r="AE758" s="181"/>
      <c r="AF758" s="181"/>
      <c r="AG758" s="181"/>
      <c r="AH758" s="181"/>
      <c r="AI758" s="181"/>
      <c r="AJ758" s="181"/>
      <c r="AK758" s="181"/>
      <c r="AL758" s="181"/>
      <c r="AM758" s="181"/>
      <c r="AN758" s="181"/>
      <c r="AO758" s="181"/>
      <c r="AP758" s="181"/>
      <c r="AQ758" s="181"/>
      <c r="AR758" s="181"/>
      <c r="AS758" s="181"/>
      <c r="AT758" s="181"/>
      <c r="AU758" s="181"/>
      <c r="AV758" s="181"/>
      <c r="AW758" s="181"/>
    </row>
    <row r="759" spans="1:49" ht="13.5" customHeight="1" x14ac:dyDescent="0.3">
      <c r="A759" s="1"/>
      <c r="B759" s="181"/>
      <c r="C759" s="181"/>
      <c r="D759" s="181"/>
      <c r="E759" s="182"/>
      <c r="F759" s="182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  <c r="AC759" s="181"/>
      <c r="AD759" s="181"/>
      <c r="AE759" s="181"/>
      <c r="AF759" s="181"/>
      <c r="AG759" s="181"/>
      <c r="AH759" s="181"/>
      <c r="AI759" s="181"/>
      <c r="AJ759" s="181"/>
      <c r="AK759" s="181"/>
      <c r="AL759" s="181"/>
      <c r="AM759" s="181"/>
      <c r="AN759" s="181"/>
      <c r="AO759" s="181"/>
      <c r="AP759" s="181"/>
      <c r="AQ759" s="181"/>
      <c r="AR759" s="181"/>
      <c r="AS759" s="181"/>
      <c r="AT759" s="181"/>
      <c r="AU759" s="181"/>
      <c r="AV759" s="181"/>
      <c r="AW759" s="181"/>
    </row>
    <row r="760" spans="1:49" ht="13.5" customHeight="1" x14ac:dyDescent="0.3">
      <c r="A760" s="1"/>
      <c r="B760" s="181"/>
      <c r="C760" s="181"/>
      <c r="D760" s="181"/>
      <c r="E760" s="182"/>
      <c r="F760" s="182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  <c r="AC760" s="181"/>
      <c r="AD760" s="181"/>
      <c r="AE760" s="181"/>
      <c r="AF760" s="181"/>
      <c r="AG760" s="181"/>
      <c r="AH760" s="181"/>
      <c r="AI760" s="181"/>
      <c r="AJ760" s="181"/>
      <c r="AK760" s="181"/>
      <c r="AL760" s="181"/>
      <c r="AM760" s="181"/>
      <c r="AN760" s="181"/>
      <c r="AO760" s="181"/>
      <c r="AP760" s="181"/>
      <c r="AQ760" s="181"/>
      <c r="AR760" s="181"/>
      <c r="AS760" s="181"/>
      <c r="AT760" s="181"/>
      <c r="AU760" s="181"/>
      <c r="AV760" s="181"/>
      <c r="AW760" s="181"/>
    </row>
    <row r="761" spans="1:49" ht="13.5" customHeight="1" x14ac:dyDescent="0.3">
      <c r="A761" s="1"/>
      <c r="B761" s="181"/>
      <c r="C761" s="181"/>
      <c r="D761" s="181"/>
      <c r="E761" s="182"/>
      <c r="F761" s="182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  <c r="AC761" s="181"/>
      <c r="AD761" s="181"/>
      <c r="AE761" s="181"/>
      <c r="AF761" s="181"/>
      <c r="AG761" s="181"/>
      <c r="AH761" s="181"/>
      <c r="AI761" s="181"/>
      <c r="AJ761" s="181"/>
      <c r="AK761" s="181"/>
      <c r="AL761" s="181"/>
      <c r="AM761" s="181"/>
      <c r="AN761" s="181"/>
      <c r="AO761" s="181"/>
      <c r="AP761" s="181"/>
      <c r="AQ761" s="181"/>
      <c r="AR761" s="181"/>
      <c r="AS761" s="181"/>
      <c r="AT761" s="181"/>
      <c r="AU761" s="181"/>
      <c r="AV761" s="181"/>
      <c r="AW761" s="181"/>
    </row>
    <row r="762" spans="1:49" ht="13.5" customHeight="1" x14ac:dyDescent="0.3">
      <c r="A762" s="1"/>
      <c r="B762" s="181"/>
      <c r="C762" s="181"/>
      <c r="D762" s="181"/>
      <c r="E762" s="182"/>
      <c r="F762" s="182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  <c r="AC762" s="181"/>
      <c r="AD762" s="181"/>
      <c r="AE762" s="181"/>
      <c r="AF762" s="181"/>
      <c r="AG762" s="181"/>
      <c r="AH762" s="181"/>
      <c r="AI762" s="181"/>
      <c r="AJ762" s="181"/>
      <c r="AK762" s="181"/>
      <c r="AL762" s="181"/>
      <c r="AM762" s="181"/>
      <c r="AN762" s="181"/>
      <c r="AO762" s="181"/>
      <c r="AP762" s="181"/>
      <c r="AQ762" s="181"/>
      <c r="AR762" s="181"/>
      <c r="AS762" s="181"/>
      <c r="AT762" s="181"/>
      <c r="AU762" s="181"/>
      <c r="AV762" s="181"/>
      <c r="AW762" s="181"/>
    </row>
    <row r="763" spans="1:49" ht="13.5" customHeight="1" x14ac:dyDescent="0.3">
      <c r="A763" s="1"/>
      <c r="B763" s="181"/>
      <c r="C763" s="181"/>
      <c r="D763" s="181"/>
      <c r="E763" s="182"/>
      <c r="F763" s="182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  <c r="AC763" s="181"/>
      <c r="AD763" s="181"/>
      <c r="AE763" s="181"/>
      <c r="AF763" s="181"/>
      <c r="AG763" s="181"/>
      <c r="AH763" s="181"/>
      <c r="AI763" s="181"/>
      <c r="AJ763" s="181"/>
      <c r="AK763" s="181"/>
      <c r="AL763" s="181"/>
      <c r="AM763" s="181"/>
      <c r="AN763" s="181"/>
      <c r="AO763" s="181"/>
      <c r="AP763" s="181"/>
      <c r="AQ763" s="181"/>
      <c r="AR763" s="181"/>
      <c r="AS763" s="181"/>
      <c r="AT763" s="181"/>
      <c r="AU763" s="181"/>
      <c r="AV763" s="181"/>
      <c r="AW763" s="181"/>
    </row>
    <row r="764" spans="1:49" ht="13.5" customHeight="1" x14ac:dyDescent="0.3">
      <c r="A764" s="1"/>
      <c r="B764" s="181"/>
      <c r="C764" s="181"/>
      <c r="D764" s="181"/>
      <c r="E764" s="182"/>
      <c r="F764" s="182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  <c r="AC764" s="181"/>
      <c r="AD764" s="181"/>
      <c r="AE764" s="181"/>
      <c r="AF764" s="181"/>
      <c r="AG764" s="181"/>
      <c r="AH764" s="181"/>
      <c r="AI764" s="181"/>
      <c r="AJ764" s="181"/>
      <c r="AK764" s="181"/>
      <c r="AL764" s="181"/>
      <c r="AM764" s="181"/>
      <c r="AN764" s="181"/>
      <c r="AO764" s="181"/>
      <c r="AP764" s="181"/>
      <c r="AQ764" s="181"/>
      <c r="AR764" s="181"/>
      <c r="AS764" s="181"/>
      <c r="AT764" s="181"/>
      <c r="AU764" s="181"/>
      <c r="AV764" s="181"/>
      <c r="AW764" s="181"/>
    </row>
    <row r="765" spans="1:49" ht="13.5" customHeight="1" x14ac:dyDescent="0.3">
      <c r="A765" s="1"/>
      <c r="B765" s="181"/>
      <c r="C765" s="181"/>
      <c r="D765" s="181"/>
      <c r="E765" s="182"/>
      <c r="F765" s="182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  <c r="AC765" s="181"/>
      <c r="AD765" s="181"/>
      <c r="AE765" s="181"/>
      <c r="AF765" s="181"/>
      <c r="AG765" s="181"/>
      <c r="AH765" s="181"/>
      <c r="AI765" s="181"/>
      <c r="AJ765" s="181"/>
      <c r="AK765" s="181"/>
      <c r="AL765" s="181"/>
      <c r="AM765" s="181"/>
      <c r="AN765" s="181"/>
      <c r="AO765" s="181"/>
      <c r="AP765" s="181"/>
      <c r="AQ765" s="181"/>
      <c r="AR765" s="181"/>
      <c r="AS765" s="181"/>
      <c r="AT765" s="181"/>
      <c r="AU765" s="181"/>
      <c r="AV765" s="181"/>
      <c r="AW765" s="181"/>
    </row>
    <row r="766" spans="1:49" ht="13.5" customHeight="1" x14ac:dyDescent="0.3">
      <c r="A766" s="1"/>
      <c r="B766" s="181"/>
      <c r="C766" s="181"/>
      <c r="D766" s="181"/>
      <c r="E766" s="182"/>
      <c r="F766" s="182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  <c r="AC766" s="181"/>
      <c r="AD766" s="181"/>
      <c r="AE766" s="181"/>
      <c r="AF766" s="181"/>
      <c r="AG766" s="181"/>
      <c r="AH766" s="181"/>
      <c r="AI766" s="181"/>
      <c r="AJ766" s="181"/>
      <c r="AK766" s="181"/>
      <c r="AL766" s="181"/>
      <c r="AM766" s="181"/>
      <c r="AN766" s="181"/>
      <c r="AO766" s="181"/>
      <c r="AP766" s="181"/>
      <c r="AQ766" s="181"/>
      <c r="AR766" s="181"/>
      <c r="AS766" s="181"/>
      <c r="AT766" s="181"/>
      <c r="AU766" s="181"/>
      <c r="AV766" s="181"/>
      <c r="AW766" s="181"/>
    </row>
    <row r="767" spans="1:49" ht="13.5" customHeight="1" x14ac:dyDescent="0.3">
      <c r="A767" s="1"/>
      <c r="B767" s="181"/>
      <c r="C767" s="181"/>
      <c r="D767" s="181"/>
      <c r="E767" s="182"/>
      <c r="F767" s="182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  <c r="AC767" s="181"/>
      <c r="AD767" s="181"/>
      <c r="AE767" s="181"/>
      <c r="AF767" s="181"/>
      <c r="AG767" s="181"/>
      <c r="AH767" s="181"/>
      <c r="AI767" s="181"/>
      <c r="AJ767" s="181"/>
      <c r="AK767" s="181"/>
      <c r="AL767" s="181"/>
      <c r="AM767" s="181"/>
      <c r="AN767" s="181"/>
      <c r="AO767" s="181"/>
      <c r="AP767" s="181"/>
      <c r="AQ767" s="181"/>
      <c r="AR767" s="181"/>
      <c r="AS767" s="181"/>
      <c r="AT767" s="181"/>
      <c r="AU767" s="181"/>
      <c r="AV767" s="181"/>
      <c r="AW767" s="181"/>
    </row>
    <row r="768" spans="1:49" ht="13.5" customHeight="1" x14ac:dyDescent="0.3">
      <c r="A768" s="1"/>
      <c r="B768" s="181"/>
      <c r="C768" s="181"/>
      <c r="D768" s="181"/>
      <c r="E768" s="182"/>
      <c r="F768" s="182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  <c r="AC768" s="181"/>
      <c r="AD768" s="181"/>
      <c r="AE768" s="181"/>
      <c r="AF768" s="181"/>
      <c r="AG768" s="181"/>
      <c r="AH768" s="181"/>
      <c r="AI768" s="181"/>
      <c r="AJ768" s="181"/>
      <c r="AK768" s="181"/>
      <c r="AL768" s="181"/>
      <c r="AM768" s="181"/>
      <c r="AN768" s="181"/>
      <c r="AO768" s="181"/>
      <c r="AP768" s="181"/>
      <c r="AQ768" s="181"/>
      <c r="AR768" s="181"/>
      <c r="AS768" s="181"/>
      <c r="AT768" s="181"/>
      <c r="AU768" s="181"/>
      <c r="AV768" s="181"/>
      <c r="AW768" s="181"/>
    </row>
    <row r="769" spans="1:49" ht="13.5" customHeight="1" x14ac:dyDescent="0.3">
      <c r="A769" s="1"/>
      <c r="B769" s="181"/>
      <c r="C769" s="181"/>
      <c r="D769" s="181"/>
      <c r="E769" s="182"/>
      <c r="F769" s="182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  <c r="AC769" s="181"/>
      <c r="AD769" s="181"/>
      <c r="AE769" s="181"/>
      <c r="AF769" s="181"/>
      <c r="AG769" s="181"/>
      <c r="AH769" s="181"/>
      <c r="AI769" s="181"/>
      <c r="AJ769" s="181"/>
      <c r="AK769" s="181"/>
      <c r="AL769" s="181"/>
      <c r="AM769" s="181"/>
      <c r="AN769" s="181"/>
      <c r="AO769" s="181"/>
      <c r="AP769" s="181"/>
      <c r="AQ769" s="181"/>
      <c r="AR769" s="181"/>
      <c r="AS769" s="181"/>
      <c r="AT769" s="181"/>
      <c r="AU769" s="181"/>
      <c r="AV769" s="181"/>
      <c r="AW769" s="181"/>
    </row>
    <row r="770" spans="1:49" ht="13.5" customHeight="1" x14ac:dyDescent="0.3">
      <c r="A770" s="1"/>
      <c r="B770" s="181"/>
      <c r="C770" s="181"/>
      <c r="D770" s="181"/>
      <c r="E770" s="182"/>
      <c r="F770" s="182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  <c r="AC770" s="181"/>
      <c r="AD770" s="181"/>
      <c r="AE770" s="181"/>
      <c r="AF770" s="181"/>
      <c r="AG770" s="181"/>
      <c r="AH770" s="181"/>
      <c r="AI770" s="181"/>
      <c r="AJ770" s="181"/>
      <c r="AK770" s="181"/>
      <c r="AL770" s="181"/>
      <c r="AM770" s="181"/>
      <c r="AN770" s="181"/>
      <c r="AO770" s="181"/>
      <c r="AP770" s="181"/>
      <c r="AQ770" s="181"/>
      <c r="AR770" s="181"/>
      <c r="AS770" s="181"/>
      <c r="AT770" s="181"/>
      <c r="AU770" s="181"/>
      <c r="AV770" s="181"/>
      <c r="AW770" s="181"/>
    </row>
    <row r="771" spans="1:49" ht="13.5" customHeight="1" x14ac:dyDescent="0.3">
      <c r="A771" s="1"/>
      <c r="B771" s="181"/>
      <c r="C771" s="181"/>
      <c r="D771" s="181"/>
      <c r="E771" s="182"/>
      <c r="F771" s="182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  <c r="AC771" s="181"/>
      <c r="AD771" s="181"/>
      <c r="AE771" s="181"/>
      <c r="AF771" s="181"/>
      <c r="AG771" s="181"/>
      <c r="AH771" s="181"/>
      <c r="AI771" s="181"/>
      <c r="AJ771" s="181"/>
      <c r="AK771" s="181"/>
      <c r="AL771" s="181"/>
      <c r="AM771" s="181"/>
      <c r="AN771" s="181"/>
      <c r="AO771" s="181"/>
      <c r="AP771" s="181"/>
      <c r="AQ771" s="181"/>
      <c r="AR771" s="181"/>
      <c r="AS771" s="181"/>
      <c r="AT771" s="181"/>
      <c r="AU771" s="181"/>
      <c r="AV771" s="181"/>
      <c r="AW771" s="181"/>
    </row>
    <row r="772" spans="1:49" ht="13.5" customHeight="1" x14ac:dyDescent="0.3">
      <c r="A772" s="1"/>
      <c r="B772" s="181"/>
      <c r="C772" s="181"/>
      <c r="D772" s="181"/>
      <c r="E772" s="182"/>
      <c r="F772" s="182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  <c r="AC772" s="181"/>
      <c r="AD772" s="181"/>
      <c r="AE772" s="181"/>
      <c r="AF772" s="181"/>
      <c r="AG772" s="181"/>
      <c r="AH772" s="181"/>
      <c r="AI772" s="181"/>
      <c r="AJ772" s="181"/>
      <c r="AK772" s="181"/>
      <c r="AL772" s="181"/>
      <c r="AM772" s="181"/>
      <c r="AN772" s="181"/>
      <c r="AO772" s="181"/>
      <c r="AP772" s="181"/>
      <c r="AQ772" s="181"/>
      <c r="AR772" s="181"/>
      <c r="AS772" s="181"/>
      <c r="AT772" s="181"/>
      <c r="AU772" s="181"/>
      <c r="AV772" s="181"/>
      <c r="AW772" s="181"/>
    </row>
    <row r="773" spans="1:49" ht="13.5" customHeight="1" x14ac:dyDescent="0.3">
      <c r="A773" s="1"/>
      <c r="B773" s="181"/>
      <c r="C773" s="181"/>
      <c r="D773" s="181"/>
      <c r="E773" s="182"/>
      <c r="F773" s="182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  <c r="AC773" s="181"/>
      <c r="AD773" s="181"/>
      <c r="AE773" s="181"/>
      <c r="AF773" s="181"/>
      <c r="AG773" s="181"/>
      <c r="AH773" s="181"/>
      <c r="AI773" s="181"/>
      <c r="AJ773" s="181"/>
      <c r="AK773" s="181"/>
      <c r="AL773" s="181"/>
      <c r="AM773" s="181"/>
      <c r="AN773" s="181"/>
      <c r="AO773" s="181"/>
      <c r="AP773" s="181"/>
      <c r="AQ773" s="181"/>
      <c r="AR773" s="181"/>
      <c r="AS773" s="181"/>
      <c r="AT773" s="181"/>
      <c r="AU773" s="181"/>
      <c r="AV773" s="181"/>
      <c r="AW773" s="181"/>
    </row>
    <row r="774" spans="1:49" ht="13.5" customHeight="1" x14ac:dyDescent="0.3">
      <c r="A774" s="1"/>
      <c r="B774" s="181"/>
      <c r="C774" s="181"/>
      <c r="D774" s="181"/>
      <c r="E774" s="182"/>
      <c r="F774" s="182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  <c r="AC774" s="181"/>
      <c r="AD774" s="181"/>
      <c r="AE774" s="181"/>
      <c r="AF774" s="181"/>
      <c r="AG774" s="181"/>
      <c r="AH774" s="181"/>
      <c r="AI774" s="181"/>
      <c r="AJ774" s="181"/>
      <c r="AK774" s="181"/>
      <c r="AL774" s="181"/>
      <c r="AM774" s="181"/>
      <c r="AN774" s="181"/>
      <c r="AO774" s="181"/>
      <c r="AP774" s="181"/>
      <c r="AQ774" s="181"/>
      <c r="AR774" s="181"/>
      <c r="AS774" s="181"/>
      <c r="AT774" s="181"/>
      <c r="AU774" s="181"/>
      <c r="AV774" s="181"/>
      <c r="AW774" s="181"/>
    </row>
    <row r="775" spans="1:49" ht="13.5" customHeight="1" x14ac:dyDescent="0.3">
      <c r="A775" s="1"/>
      <c r="B775" s="181"/>
      <c r="C775" s="181"/>
      <c r="D775" s="181"/>
      <c r="E775" s="182"/>
      <c r="F775" s="182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  <c r="AC775" s="181"/>
      <c r="AD775" s="181"/>
      <c r="AE775" s="181"/>
      <c r="AF775" s="181"/>
      <c r="AG775" s="181"/>
      <c r="AH775" s="181"/>
      <c r="AI775" s="181"/>
      <c r="AJ775" s="181"/>
      <c r="AK775" s="181"/>
      <c r="AL775" s="181"/>
      <c r="AM775" s="181"/>
      <c r="AN775" s="181"/>
      <c r="AO775" s="181"/>
      <c r="AP775" s="181"/>
      <c r="AQ775" s="181"/>
      <c r="AR775" s="181"/>
      <c r="AS775" s="181"/>
      <c r="AT775" s="181"/>
      <c r="AU775" s="181"/>
      <c r="AV775" s="181"/>
      <c r="AW775" s="181"/>
    </row>
    <row r="776" spans="1:49" ht="13.5" customHeight="1" x14ac:dyDescent="0.3">
      <c r="A776" s="1"/>
      <c r="B776" s="181"/>
      <c r="C776" s="181"/>
      <c r="D776" s="181"/>
      <c r="E776" s="182"/>
      <c r="F776" s="182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  <c r="AC776" s="181"/>
      <c r="AD776" s="181"/>
      <c r="AE776" s="181"/>
      <c r="AF776" s="181"/>
      <c r="AG776" s="181"/>
      <c r="AH776" s="181"/>
      <c r="AI776" s="181"/>
      <c r="AJ776" s="181"/>
      <c r="AK776" s="181"/>
      <c r="AL776" s="181"/>
      <c r="AM776" s="181"/>
      <c r="AN776" s="181"/>
      <c r="AO776" s="181"/>
      <c r="AP776" s="181"/>
      <c r="AQ776" s="181"/>
      <c r="AR776" s="181"/>
      <c r="AS776" s="181"/>
      <c r="AT776" s="181"/>
      <c r="AU776" s="181"/>
      <c r="AV776" s="181"/>
      <c r="AW776" s="181"/>
    </row>
    <row r="777" spans="1:49" ht="13.5" customHeight="1" x14ac:dyDescent="0.3">
      <c r="A777" s="1"/>
      <c r="B777" s="181"/>
      <c r="C777" s="181"/>
      <c r="D777" s="181"/>
      <c r="E777" s="182"/>
      <c r="F777" s="182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  <c r="AC777" s="181"/>
      <c r="AD777" s="181"/>
      <c r="AE777" s="181"/>
      <c r="AF777" s="181"/>
      <c r="AG777" s="181"/>
      <c r="AH777" s="181"/>
      <c r="AI777" s="181"/>
      <c r="AJ777" s="181"/>
      <c r="AK777" s="181"/>
      <c r="AL777" s="181"/>
      <c r="AM777" s="181"/>
      <c r="AN777" s="181"/>
      <c r="AO777" s="181"/>
      <c r="AP777" s="181"/>
      <c r="AQ777" s="181"/>
      <c r="AR777" s="181"/>
      <c r="AS777" s="181"/>
      <c r="AT777" s="181"/>
      <c r="AU777" s="181"/>
      <c r="AV777" s="181"/>
      <c r="AW777" s="181"/>
    </row>
    <row r="778" spans="1:49" ht="13.5" customHeight="1" x14ac:dyDescent="0.3">
      <c r="A778" s="1"/>
      <c r="B778" s="181"/>
      <c r="C778" s="181"/>
      <c r="D778" s="181"/>
      <c r="E778" s="182"/>
      <c r="F778" s="182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  <c r="AC778" s="181"/>
      <c r="AD778" s="181"/>
      <c r="AE778" s="181"/>
      <c r="AF778" s="181"/>
      <c r="AG778" s="181"/>
      <c r="AH778" s="181"/>
      <c r="AI778" s="181"/>
      <c r="AJ778" s="181"/>
      <c r="AK778" s="181"/>
      <c r="AL778" s="181"/>
      <c r="AM778" s="181"/>
      <c r="AN778" s="181"/>
      <c r="AO778" s="181"/>
      <c r="AP778" s="181"/>
      <c r="AQ778" s="181"/>
      <c r="AR778" s="181"/>
      <c r="AS778" s="181"/>
      <c r="AT778" s="181"/>
      <c r="AU778" s="181"/>
      <c r="AV778" s="181"/>
      <c r="AW778" s="181"/>
    </row>
    <row r="779" spans="1:49" ht="13.5" customHeight="1" x14ac:dyDescent="0.3">
      <c r="A779" s="1"/>
      <c r="B779" s="181"/>
      <c r="C779" s="181"/>
      <c r="D779" s="181"/>
      <c r="E779" s="182"/>
      <c r="F779" s="182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  <c r="AC779" s="181"/>
      <c r="AD779" s="181"/>
      <c r="AE779" s="181"/>
      <c r="AF779" s="181"/>
      <c r="AG779" s="181"/>
      <c r="AH779" s="181"/>
      <c r="AI779" s="181"/>
      <c r="AJ779" s="181"/>
      <c r="AK779" s="181"/>
      <c r="AL779" s="181"/>
      <c r="AM779" s="181"/>
      <c r="AN779" s="181"/>
      <c r="AO779" s="181"/>
      <c r="AP779" s="181"/>
      <c r="AQ779" s="181"/>
      <c r="AR779" s="181"/>
      <c r="AS779" s="181"/>
      <c r="AT779" s="181"/>
      <c r="AU779" s="181"/>
      <c r="AV779" s="181"/>
      <c r="AW779" s="181"/>
    </row>
    <row r="780" spans="1:49" ht="13.5" customHeight="1" x14ac:dyDescent="0.3">
      <c r="A780" s="1"/>
      <c r="B780" s="181"/>
      <c r="C780" s="181"/>
      <c r="D780" s="181"/>
      <c r="E780" s="182"/>
      <c r="F780" s="182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  <c r="AC780" s="181"/>
      <c r="AD780" s="181"/>
      <c r="AE780" s="181"/>
      <c r="AF780" s="181"/>
      <c r="AG780" s="181"/>
      <c r="AH780" s="181"/>
      <c r="AI780" s="181"/>
      <c r="AJ780" s="181"/>
      <c r="AK780" s="181"/>
      <c r="AL780" s="181"/>
      <c r="AM780" s="181"/>
      <c r="AN780" s="181"/>
      <c r="AO780" s="181"/>
      <c r="AP780" s="181"/>
      <c r="AQ780" s="181"/>
      <c r="AR780" s="181"/>
      <c r="AS780" s="181"/>
      <c r="AT780" s="181"/>
      <c r="AU780" s="181"/>
      <c r="AV780" s="181"/>
      <c r="AW780" s="181"/>
    </row>
    <row r="781" spans="1:49" ht="13.5" customHeight="1" x14ac:dyDescent="0.3">
      <c r="A781" s="1"/>
      <c r="B781" s="181"/>
      <c r="C781" s="181"/>
      <c r="D781" s="181"/>
      <c r="E781" s="182"/>
      <c r="F781" s="182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  <c r="AC781" s="181"/>
      <c r="AD781" s="181"/>
      <c r="AE781" s="181"/>
      <c r="AF781" s="181"/>
      <c r="AG781" s="181"/>
      <c r="AH781" s="181"/>
      <c r="AI781" s="181"/>
      <c r="AJ781" s="181"/>
      <c r="AK781" s="181"/>
      <c r="AL781" s="181"/>
      <c r="AM781" s="181"/>
      <c r="AN781" s="181"/>
      <c r="AO781" s="181"/>
      <c r="AP781" s="181"/>
      <c r="AQ781" s="181"/>
      <c r="AR781" s="181"/>
      <c r="AS781" s="181"/>
      <c r="AT781" s="181"/>
      <c r="AU781" s="181"/>
      <c r="AV781" s="181"/>
      <c r="AW781" s="181"/>
    </row>
    <row r="782" spans="1:49" ht="13.5" customHeight="1" x14ac:dyDescent="0.3">
      <c r="A782" s="1"/>
      <c r="B782" s="181"/>
      <c r="C782" s="181"/>
      <c r="D782" s="181"/>
      <c r="E782" s="182"/>
      <c r="F782" s="182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  <c r="AC782" s="181"/>
      <c r="AD782" s="181"/>
      <c r="AE782" s="181"/>
      <c r="AF782" s="181"/>
      <c r="AG782" s="181"/>
      <c r="AH782" s="181"/>
      <c r="AI782" s="181"/>
      <c r="AJ782" s="181"/>
      <c r="AK782" s="181"/>
      <c r="AL782" s="181"/>
      <c r="AM782" s="181"/>
      <c r="AN782" s="181"/>
      <c r="AO782" s="181"/>
      <c r="AP782" s="181"/>
      <c r="AQ782" s="181"/>
      <c r="AR782" s="181"/>
      <c r="AS782" s="181"/>
      <c r="AT782" s="181"/>
      <c r="AU782" s="181"/>
      <c r="AV782" s="181"/>
      <c r="AW782" s="181"/>
    </row>
    <row r="783" spans="1:49" ht="13.5" customHeight="1" x14ac:dyDescent="0.3">
      <c r="A783" s="1"/>
      <c r="B783" s="181"/>
      <c r="C783" s="181"/>
      <c r="D783" s="181"/>
      <c r="E783" s="182"/>
      <c r="F783" s="182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  <c r="AC783" s="181"/>
      <c r="AD783" s="181"/>
      <c r="AE783" s="181"/>
      <c r="AF783" s="181"/>
      <c r="AG783" s="181"/>
      <c r="AH783" s="181"/>
      <c r="AI783" s="181"/>
      <c r="AJ783" s="181"/>
      <c r="AK783" s="181"/>
      <c r="AL783" s="181"/>
      <c r="AM783" s="181"/>
      <c r="AN783" s="181"/>
      <c r="AO783" s="181"/>
      <c r="AP783" s="181"/>
      <c r="AQ783" s="181"/>
      <c r="AR783" s="181"/>
      <c r="AS783" s="181"/>
      <c r="AT783" s="181"/>
      <c r="AU783" s="181"/>
      <c r="AV783" s="181"/>
      <c r="AW783" s="181"/>
    </row>
    <row r="784" spans="1:49" ht="13.5" customHeight="1" x14ac:dyDescent="0.3">
      <c r="A784" s="1"/>
      <c r="B784" s="181"/>
      <c r="C784" s="181"/>
      <c r="D784" s="181"/>
      <c r="E784" s="182"/>
      <c r="F784" s="182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  <c r="AC784" s="181"/>
      <c r="AD784" s="181"/>
      <c r="AE784" s="181"/>
      <c r="AF784" s="181"/>
      <c r="AG784" s="181"/>
      <c r="AH784" s="181"/>
      <c r="AI784" s="181"/>
      <c r="AJ784" s="181"/>
      <c r="AK784" s="181"/>
      <c r="AL784" s="181"/>
      <c r="AM784" s="181"/>
      <c r="AN784" s="181"/>
      <c r="AO784" s="181"/>
      <c r="AP784" s="181"/>
      <c r="AQ784" s="181"/>
      <c r="AR784" s="181"/>
      <c r="AS784" s="181"/>
      <c r="AT784" s="181"/>
      <c r="AU784" s="181"/>
      <c r="AV784" s="181"/>
      <c r="AW784" s="181"/>
    </row>
    <row r="785" spans="1:49" ht="13.5" customHeight="1" x14ac:dyDescent="0.3">
      <c r="A785" s="1"/>
      <c r="B785" s="181"/>
      <c r="C785" s="181"/>
      <c r="D785" s="181"/>
      <c r="E785" s="182"/>
      <c r="F785" s="182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  <c r="AC785" s="181"/>
      <c r="AD785" s="181"/>
      <c r="AE785" s="181"/>
      <c r="AF785" s="181"/>
      <c r="AG785" s="181"/>
      <c r="AH785" s="181"/>
      <c r="AI785" s="181"/>
      <c r="AJ785" s="181"/>
      <c r="AK785" s="181"/>
      <c r="AL785" s="181"/>
      <c r="AM785" s="181"/>
      <c r="AN785" s="181"/>
      <c r="AO785" s="181"/>
      <c r="AP785" s="181"/>
      <c r="AQ785" s="181"/>
      <c r="AR785" s="181"/>
      <c r="AS785" s="181"/>
      <c r="AT785" s="181"/>
      <c r="AU785" s="181"/>
      <c r="AV785" s="181"/>
      <c r="AW785" s="181"/>
    </row>
    <row r="786" spans="1:49" ht="13.5" customHeight="1" x14ac:dyDescent="0.3">
      <c r="A786" s="1"/>
      <c r="B786" s="181"/>
      <c r="C786" s="181"/>
      <c r="D786" s="181"/>
      <c r="E786" s="182"/>
      <c r="F786" s="182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  <c r="AC786" s="181"/>
      <c r="AD786" s="181"/>
      <c r="AE786" s="181"/>
      <c r="AF786" s="181"/>
      <c r="AG786" s="181"/>
      <c r="AH786" s="181"/>
      <c r="AI786" s="181"/>
      <c r="AJ786" s="181"/>
      <c r="AK786" s="181"/>
      <c r="AL786" s="181"/>
      <c r="AM786" s="181"/>
      <c r="AN786" s="181"/>
      <c r="AO786" s="181"/>
      <c r="AP786" s="181"/>
      <c r="AQ786" s="181"/>
      <c r="AR786" s="181"/>
      <c r="AS786" s="181"/>
      <c r="AT786" s="181"/>
      <c r="AU786" s="181"/>
      <c r="AV786" s="181"/>
      <c r="AW786" s="181"/>
    </row>
    <row r="787" spans="1:49" ht="13.5" customHeight="1" x14ac:dyDescent="0.3">
      <c r="A787" s="1"/>
      <c r="B787" s="181"/>
      <c r="C787" s="181"/>
      <c r="D787" s="181"/>
      <c r="E787" s="182"/>
      <c r="F787" s="182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  <c r="AC787" s="181"/>
      <c r="AD787" s="181"/>
      <c r="AE787" s="181"/>
      <c r="AF787" s="181"/>
      <c r="AG787" s="181"/>
      <c r="AH787" s="181"/>
      <c r="AI787" s="181"/>
      <c r="AJ787" s="181"/>
      <c r="AK787" s="181"/>
      <c r="AL787" s="181"/>
      <c r="AM787" s="181"/>
      <c r="AN787" s="181"/>
      <c r="AO787" s="181"/>
      <c r="AP787" s="181"/>
      <c r="AQ787" s="181"/>
      <c r="AR787" s="181"/>
      <c r="AS787" s="181"/>
      <c r="AT787" s="181"/>
      <c r="AU787" s="181"/>
      <c r="AV787" s="181"/>
      <c r="AW787" s="181"/>
    </row>
    <row r="788" spans="1:49" ht="13.5" customHeight="1" x14ac:dyDescent="0.3">
      <c r="A788" s="1"/>
      <c r="B788" s="181"/>
      <c r="C788" s="181"/>
      <c r="D788" s="181"/>
      <c r="E788" s="182"/>
      <c r="F788" s="182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  <c r="AC788" s="181"/>
      <c r="AD788" s="181"/>
      <c r="AE788" s="181"/>
      <c r="AF788" s="181"/>
      <c r="AG788" s="181"/>
      <c r="AH788" s="181"/>
      <c r="AI788" s="181"/>
      <c r="AJ788" s="181"/>
      <c r="AK788" s="181"/>
      <c r="AL788" s="181"/>
      <c r="AM788" s="181"/>
      <c r="AN788" s="181"/>
      <c r="AO788" s="181"/>
      <c r="AP788" s="181"/>
      <c r="AQ788" s="181"/>
      <c r="AR788" s="181"/>
      <c r="AS788" s="181"/>
      <c r="AT788" s="181"/>
      <c r="AU788" s="181"/>
      <c r="AV788" s="181"/>
      <c r="AW788" s="181"/>
    </row>
    <row r="789" spans="1:49" ht="13.5" customHeight="1" x14ac:dyDescent="0.3">
      <c r="A789" s="1"/>
      <c r="B789" s="181"/>
      <c r="C789" s="181"/>
      <c r="D789" s="181"/>
      <c r="E789" s="182"/>
      <c r="F789" s="182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  <c r="AC789" s="181"/>
      <c r="AD789" s="181"/>
      <c r="AE789" s="181"/>
      <c r="AF789" s="181"/>
      <c r="AG789" s="181"/>
      <c r="AH789" s="181"/>
      <c r="AI789" s="181"/>
      <c r="AJ789" s="181"/>
      <c r="AK789" s="181"/>
      <c r="AL789" s="181"/>
      <c r="AM789" s="181"/>
      <c r="AN789" s="181"/>
      <c r="AO789" s="181"/>
      <c r="AP789" s="181"/>
      <c r="AQ789" s="181"/>
      <c r="AR789" s="181"/>
      <c r="AS789" s="181"/>
      <c r="AT789" s="181"/>
      <c r="AU789" s="181"/>
      <c r="AV789" s="181"/>
      <c r="AW789" s="181"/>
    </row>
    <row r="790" spans="1:49" ht="13.5" customHeight="1" x14ac:dyDescent="0.3">
      <c r="A790" s="1"/>
      <c r="B790" s="181"/>
      <c r="C790" s="181"/>
      <c r="D790" s="181"/>
      <c r="E790" s="182"/>
      <c r="F790" s="182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  <c r="AC790" s="181"/>
      <c r="AD790" s="181"/>
      <c r="AE790" s="181"/>
      <c r="AF790" s="181"/>
      <c r="AG790" s="181"/>
      <c r="AH790" s="181"/>
      <c r="AI790" s="181"/>
      <c r="AJ790" s="181"/>
      <c r="AK790" s="181"/>
      <c r="AL790" s="181"/>
      <c r="AM790" s="181"/>
      <c r="AN790" s="181"/>
      <c r="AO790" s="181"/>
      <c r="AP790" s="181"/>
      <c r="AQ790" s="181"/>
      <c r="AR790" s="181"/>
      <c r="AS790" s="181"/>
      <c r="AT790" s="181"/>
      <c r="AU790" s="181"/>
      <c r="AV790" s="181"/>
      <c r="AW790" s="181"/>
    </row>
    <row r="791" spans="1:49" ht="13.5" customHeight="1" x14ac:dyDescent="0.3">
      <c r="A791" s="1"/>
      <c r="B791" s="181"/>
      <c r="C791" s="181"/>
      <c r="D791" s="181"/>
      <c r="E791" s="182"/>
      <c r="F791" s="182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  <c r="AC791" s="181"/>
      <c r="AD791" s="181"/>
      <c r="AE791" s="181"/>
      <c r="AF791" s="181"/>
      <c r="AG791" s="181"/>
      <c r="AH791" s="181"/>
      <c r="AI791" s="181"/>
      <c r="AJ791" s="181"/>
      <c r="AK791" s="181"/>
      <c r="AL791" s="181"/>
      <c r="AM791" s="181"/>
      <c r="AN791" s="181"/>
      <c r="AO791" s="181"/>
      <c r="AP791" s="181"/>
      <c r="AQ791" s="181"/>
      <c r="AR791" s="181"/>
      <c r="AS791" s="181"/>
      <c r="AT791" s="181"/>
      <c r="AU791" s="181"/>
      <c r="AV791" s="181"/>
      <c r="AW791" s="181"/>
    </row>
    <row r="792" spans="1:49" ht="13.5" customHeight="1" x14ac:dyDescent="0.3">
      <c r="A792" s="1"/>
      <c r="B792" s="181"/>
      <c r="C792" s="181"/>
      <c r="D792" s="181"/>
      <c r="E792" s="182"/>
      <c r="F792" s="182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  <c r="AC792" s="181"/>
      <c r="AD792" s="181"/>
      <c r="AE792" s="181"/>
      <c r="AF792" s="181"/>
      <c r="AG792" s="181"/>
      <c r="AH792" s="181"/>
      <c r="AI792" s="181"/>
      <c r="AJ792" s="181"/>
      <c r="AK792" s="181"/>
      <c r="AL792" s="181"/>
      <c r="AM792" s="181"/>
      <c r="AN792" s="181"/>
      <c r="AO792" s="181"/>
      <c r="AP792" s="181"/>
      <c r="AQ792" s="181"/>
      <c r="AR792" s="181"/>
      <c r="AS792" s="181"/>
      <c r="AT792" s="181"/>
      <c r="AU792" s="181"/>
      <c r="AV792" s="181"/>
      <c r="AW792" s="181"/>
    </row>
    <row r="793" spans="1:49" ht="13.5" customHeight="1" x14ac:dyDescent="0.3">
      <c r="A793" s="1"/>
      <c r="B793" s="181"/>
      <c r="C793" s="181"/>
      <c r="D793" s="181"/>
      <c r="E793" s="182"/>
      <c r="F793" s="182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  <c r="AC793" s="181"/>
      <c r="AD793" s="181"/>
      <c r="AE793" s="181"/>
      <c r="AF793" s="181"/>
      <c r="AG793" s="181"/>
      <c r="AH793" s="181"/>
      <c r="AI793" s="181"/>
      <c r="AJ793" s="181"/>
      <c r="AK793" s="181"/>
      <c r="AL793" s="181"/>
      <c r="AM793" s="181"/>
      <c r="AN793" s="181"/>
      <c r="AO793" s="181"/>
      <c r="AP793" s="181"/>
      <c r="AQ793" s="181"/>
      <c r="AR793" s="181"/>
      <c r="AS793" s="181"/>
      <c r="AT793" s="181"/>
      <c r="AU793" s="181"/>
      <c r="AV793" s="181"/>
      <c r="AW793" s="181"/>
    </row>
    <row r="794" spans="1:49" ht="13.5" customHeight="1" x14ac:dyDescent="0.3">
      <c r="A794" s="1"/>
      <c r="B794" s="181"/>
      <c r="C794" s="181"/>
      <c r="D794" s="181"/>
      <c r="E794" s="182"/>
      <c r="F794" s="182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  <c r="AC794" s="181"/>
      <c r="AD794" s="181"/>
      <c r="AE794" s="181"/>
      <c r="AF794" s="181"/>
      <c r="AG794" s="181"/>
      <c r="AH794" s="181"/>
      <c r="AI794" s="181"/>
      <c r="AJ794" s="181"/>
      <c r="AK794" s="181"/>
      <c r="AL794" s="181"/>
      <c r="AM794" s="181"/>
      <c r="AN794" s="181"/>
      <c r="AO794" s="181"/>
      <c r="AP794" s="181"/>
      <c r="AQ794" s="181"/>
      <c r="AR794" s="181"/>
      <c r="AS794" s="181"/>
      <c r="AT794" s="181"/>
      <c r="AU794" s="181"/>
      <c r="AV794" s="181"/>
      <c r="AW794" s="181"/>
    </row>
    <row r="795" spans="1:49" ht="13.5" customHeight="1" x14ac:dyDescent="0.3">
      <c r="A795" s="1"/>
      <c r="B795" s="181"/>
      <c r="C795" s="181"/>
      <c r="D795" s="181"/>
      <c r="E795" s="182"/>
      <c r="F795" s="182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  <c r="AC795" s="181"/>
      <c r="AD795" s="181"/>
      <c r="AE795" s="181"/>
      <c r="AF795" s="181"/>
      <c r="AG795" s="181"/>
      <c r="AH795" s="181"/>
      <c r="AI795" s="181"/>
      <c r="AJ795" s="181"/>
      <c r="AK795" s="181"/>
      <c r="AL795" s="181"/>
      <c r="AM795" s="181"/>
      <c r="AN795" s="181"/>
      <c r="AO795" s="181"/>
      <c r="AP795" s="181"/>
      <c r="AQ795" s="181"/>
      <c r="AR795" s="181"/>
      <c r="AS795" s="181"/>
      <c r="AT795" s="181"/>
      <c r="AU795" s="181"/>
      <c r="AV795" s="181"/>
      <c r="AW795" s="181"/>
    </row>
    <row r="796" spans="1:49" ht="13.5" customHeight="1" x14ac:dyDescent="0.3">
      <c r="A796" s="1"/>
      <c r="B796" s="181"/>
      <c r="C796" s="181"/>
      <c r="D796" s="181"/>
      <c r="E796" s="182"/>
      <c r="F796" s="182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  <c r="AC796" s="181"/>
      <c r="AD796" s="181"/>
      <c r="AE796" s="181"/>
      <c r="AF796" s="181"/>
      <c r="AG796" s="181"/>
      <c r="AH796" s="181"/>
      <c r="AI796" s="181"/>
      <c r="AJ796" s="181"/>
      <c r="AK796" s="181"/>
      <c r="AL796" s="181"/>
      <c r="AM796" s="181"/>
      <c r="AN796" s="181"/>
      <c r="AO796" s="181"/>
      <c r="AP796" s="181"/>
      <c r="AQ796" s="181"/>
      <c r="AR796" s="181"/>
      <c r="AS796" s="181"/>
      <c r="AT796" s="181"/>
      <c r="AU796" s="181"/>
      <c r="AV796" s="181"/>
      <c r="AW796" s="181"/>
    </row>
    <row r="797" spans="1:49" ht="13.5" customHeight="1" x14ac:dyDescent="0.3">
      <c r="A797" s="1"/>
      <c r="B797" s="181"/>
      <c r="C797" s="181"/>
      <c r="D797" s="181"/>
      <c r="E797" s="182"/>
      <c r="F797" s="182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  <c r="AC797" s="181"/>
      <c r="AD797" s="181"/>
      <c r="AE797" s="181"/>
      <c r="AF797" s="181"/>
      <c r="AG797" s="181"/>
      <c r="AH797" s="181"/>
      <c r="AI797" s="181"/>
      <c r="AJ797" s="181"/>
      <c r="AK797" s="181"/>
      <c r="AL797" s="181"/>
      <c r="AM797" s="181"/>
      <c r="AN797" s="181"/>
      <c r="AO797" s="181"/>
      <c r="AP797" s="181"/>
      <c r="AQ797" s="181"/>
      <c r="AR797" s="181"/>
      <c r="AS797" s="181"/>
      <c r="AT797" s="181"/>
      <c r="AU797" s="181"/>
      <c r="AV797" s="181"/>
      <c r="AW797" s="181"/>
    </row>
    <row r="798" spans="1:49" ht="13.5" customHeight="1" x14ac:dyDescent="0.3">
      <c r="A798" s="1"/>
      <c r="B798" s="181"/>
      <c r="C798" s="181"/>
      <c r="D798" s="181"/>
      <c r="E798" s="182"/>
      <c r="F798" s="182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  <c r="AC798" s="181"/>
      <c r="AD798" s="181"/>
      <c r="AE798" s="181"/>
      <c r="AF798" s="181"/>
      <c r="AG798" s="181"/>
      <c r="AH798" s="181"/>
      <c r="AI798" s="181"/>
      <c r="AJ798" s="181"/>
      <c r="AK798" s="181"/>
      <c r="AL798" s="181"/>
      <c r="AM798" s="181"/>
      <c r="AN798" s="181"/>
      <c r="AO798" s="181"/>
      <c r="AP798" s="181"/>
      <c r="AQ798" s="181"/>
      <c r="AR798" s="181"/>
      <c r="AS798" s="181"/>
      <c r="AT798" s="181"/>
      <c r="AU798" s="181"/>
      <c r="AV798" s="181"/>
      <c r="AW798" s="181"/>
    </row>
    <row r="799" spans="1:49" ht="13.5" customHeight="1" x14ac:dyDescent="0.3">
      <c r="A799" s="1"/>
      <c r="B799" s="181"/>
      <c r="C799" s="181"/>
      <c r="D799" s="181"/>
      <c r="E799" s="182"/>
      <c r="F799" s="182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  <c r="AC799" s="181"/>
      <c r="AD799" s="181"/>
      <c r="AE799" s="181"/>
      <c r="AF799" s="181"/>
      <c r="AG799" s="181"/>
      <c r="AH799" s="181"/>
      <c r="AI799" s="181"/>
      <c r="AJ799" s="181"/>
      <c r="AK799" s="181"/>
      <c r="AL799" s="181"/>
      <c r="AM799" s="181"/>
      <c r="AN799" s="181"/>
      <c r="AO799" s="181"/>
      <c r="AP799" s="181"/>
      <c r="AQ799" s="181"/>
      <c r="AR799" s="181"/>
      <c r="AS799" s="181"/>
      <c r="AT799" s="181"/>
      <c r="AU799" s="181"/>
      <c r="AV799" s="181"/>
      <c r="AW799" s="181"/>
    </row>
    <row r="800" spans="1:49" ht="13.5" customHeight="1" x14ac:dyDescent="0.3">
      <c r="A800" s="1"/>
      <c r="B800" s="181"/>
      <c r="C800" s="181"/>
      <c r="D800" s="181"/>
      <c r="E800" s="182"/>
      <c r="F800" s="182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  <c r="AC800" s="181"/>
      <c r="AD800" s="181"/>
      <c r="AE800" s="181"/>
      <c r="AF800" s="181"/>
      <c r="AG800" s="181"/>
      <c r="AH800" s="181"/>
      <c r="AI800" s="181"/>
      <c r="AJ800" s="181"/>
      <c r="AK800" s="181"/>
      <c r="AL800" s="181"/>
      <c r="AM800" s="181"/>
      <c r="AN800" s="181"/>
      <c r="AO800" s="181"/>
      <c r="AP800" s="181"/>
      <c r="AQ800" s="181"/>
      <c r="AR800" s="181"/>
      <c r="AS800" s="181"/>
      <c r="AT800" s="181"/>
      <c r="AU800" s="181"/>
      <c r="AV800" s="181"/>
      <c r="AW800" s="181"/>
    </row>
    <row r="801" spans="1:49" ht="13.5" customHeight="1" x14ac:dyDescent="0.3">
      <c r="A801" s="1"/>
      <c r="B801" s="181"/>
      <c r="C801" s="181"/>
      <c r="D801" s="181"/>
      <c r="E801" s="182"/>
      <c r="F801" s="182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  <c r="AC801" s="181"/>
      <c r="AD801" s="181"/>
      <c r="AE801" s="181"/>
      <c r="AF801" s="181"/>
      <c r="AG801" s="181"/>
      <c r="AH801" s="181"/>
      <c r="AI801" s="181"/>
      <c r="AJ801" s="181"/>
      <c r="AK801" s="181"/>
      <c r="AL801" s="181"/>
      <c r="AM801" s="181"/>
      <c r="AN801" s="181"/>
      <c r="AO801" s="181"/>
      <c r="AP801" s="181"/>
      <c r="AQ801" s="181"/>
      <c r="AR801" s="181"/>
      <c r="AS801" s="181"/>
      <c r="AT801" s="181"/>
      <c r="AU801" s="181"/>
      <c r="AV801" s="181"/>
      <c r="AW801" s="181"/>
    </row>
    <row r="802" spans="1:49" ht="13.5" customHeight="1" x14ac:dyDescent="0.3">
      <c r="A802" s="1"/>
      <c r="B802" s="181"/>
      <c r="C802" s="181"/>
      <c r="D802" s="181"/>
      <c r="E802" s="182"/>
      <c r="F802" s="182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  <c r="AC802" s="181"/>
      <c r="AD802" s="181"/>
      <c r="AE802" s="181"/>
      <c r="AF802" s="181"/>
      <c r="AG802" s="181"/>
      <c r="AH802" s="181"/>
      <c r="AI802" s="181"/>
      <c r="AJ802" s="181"/>
      <c r="AK802" s="181"/>
      <c r="AL802" s="181"/>
      <c r="AM802" s="181"/>
      <c r="AN802" s="181"/>
      <c r="AO802" s="181"/>
      <c r="AP802" s="181"/>
      <c r="AQ802" s="181"/>
      <c r="AR802" s="181"/>
      <c r="AS802" s="181"/>
      <c r="AT802" s="181"/>
      <c r="AU802" s="181"/>
      <c r="AV802" s="181"/>
      <c r="AW802" s="181"/>
    </row>
    <row r="803" spans="1:49" ht="13.5" customHeight="1" x14ac:dyDescent="0.3">
      <c r="A803" s="1"/>
      <c r="B803" s="181"/>
      <c r="C803" s="181"/>
      <c r="D803" s="181"/>
      <c r="E803" s="182"/>
      <c r="F803" s="182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  <c r="AC803" s="181"/>
      <c r="AD803" s="181"/>
      <c r="AE803" s="181"/>
      <c r="AF803" s="181"/>
      <c r="AG803" s="181"/>
      <c r="AH803" s="181"/>
      <c r="AI803" s="181"/>
      <c r="AJ803" s="181"/>
      <c r="AK803" s="181"/>
      <c r="AL803" s="181"/>
      <c r="AM803" s="181"/>
      <c r="AN803" s="181"/>
      <c r="AO803" s="181"/>
      <c r="AP803" s="181"/>
      <c r="AQ803" s="181"/>
      <c r="AR803" s="181"/>
      <c r="AS803" s="181"/>
      <c r="AT803" s="181"/>
      <c r="AU803" s="181"/>
      <c r="AV803" s="181"/>
      <c r="AW803" s="181"/>
    </row>
    <row r="804" spans="1:49" ht="13.5" customHeight="1" x14ac:dyDescent="0.3">
      <c r="A804" s="1"/>
      <c r="B804" s="181"/>
      <c r="C804" s="181"/>
      <c r="D804" s="181"/>
      <c r="E804" s="182"/>
      <c r="F804" s="182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  <c r="AC804" s="181"/>
      <c r="AD804" s="181"/>
      <c r="AE804" s="181"/>
      <c r="AF804" s="181"/>
      <c r="AG804" s="181"/>
      <c r="AH804" s="181"/>
      <c r="AI804" s="181"/>
      <c r="AJ804" s="181"/>
      <c r="AK804" s="181"/>
      <c r="AL804" s="181"/>
      <c r="AM804" s="181"/>
      <c r="AN804" s="181"/>
      <c r="AO804" s="181"/>
      <c r="AP804" s="181"/>
      <c r="AQ804" s="181"/>
      <c r="AR804" s="181"/>
      <c r="AS804" s="181"/>
      <c r="AT804" s="181"/>
      <c r="AU804" s="181"/>
      <c r="AV804" s="181"/>
      <c r="AW804" s="181"/>
    </row>
    <row r="805" spans="1:49" ht="13.5" customHeight="1" x14ac:dyDescent="0.3">
      <c r="A805" s="1"/>
      <c r="B805" s="181"/>
      <c r="C805" s="181"/>
      <c r="D805" s="181"/>
      <c r="E805" s="182"/>
      <c r="F805" s="182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  <c r="AC805" s="181"/>
      <c r="AD805" s="181"/>
      <c r="AE805" s="181"/>
      <c r="AF805" s="181"/>
      <c r="AG805" s="181"/>
      <c r="AH805" s="181"/>
      <c r="AI805" s="181"/>
      <c r="AJ805" s="181"/>
      <c r="AK805" s="181"/>
      <c r="AL805" s="181"/>
      <c r="AM805" s="181"/>
      <c r="AN805" s="181"/>
      <c r="AO805" s="181"/>
      <c r="AP805" s="181"/>
      <c r="AQ805" s="181"/>
      <c r="AR805" s="181"/>
      <c r="AS805" s="181"/>
      <c r="AT805" s="181"/>
      <c r="AU805" s="181"/>
      <c r="AV805" s="181"/>
      <c r="AW805" s="181"/>
    </row>
    <row r="806" spans="1:49" ht="13.5" customHeight="1" x14ac:dyDescent="0.3">
      <c r="A806" s="1"/>
      <c r="B806" s="181"/>
      <c r="C806" s="181"/>
      <c r="D806" s="181"/>
      <c r="E806" s="182"/>
      <c r="F806" s="182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  <c r="AC806" s="181"/>
      <c r="AD806" s="181"/>
      <c r="AE806" s="181"/>
      <c r="AF806" s="181"/>
      <c r="AG806" s="181"/>
      <c r="AH806" s="181"/>
      <c r="AI806" s="181"/>
      <c r="AJ806" s="181"/>
      <c r="AK806" s="181"/>
      <c r="AL806" s="181"/>
      <c r="AM806" s="181"/>
      <c r="AN806" s="181"/>
      <c r="AO806" s="181"/>
      <c r="AP806" s="181"/>
      <c r="AQ806" s="181"/>
      <c r="AR806" s="181"/>
      <c r="AS806" s="181"/>
      <c r="AT806" s="181"/>
      <c r="AU806" s="181"/>
      <c r="AV806" s="181"/>
      <c r="AW806" s="181"/>
    </row>
    <row r="807" spans="1:49" ht="13.5" customHeight="1" x14ac:dyDescent="0.3">
      <c r="A807" s="1"/>
      <c r="B807" s="181"/>
      <c r="C807" s="181"/>
      <c r="D807" s="181"/>
      <c r="E807" s="182"/>
      <c r="F807" s="182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  <c r="AC807" s="181"/>
      <c r="AD807" s="181"/>
      <c r="AE807" s="181"/>
      <c r="AF807" s="181"/>
      <c r="AG807" s="181"/>
      <c r="AH807" s="181"/>
      <c r="AI807" s="181"/>
      <c r="AJ807" s="181"/>
      <c r="AK807" s="181"/>
      <c r="AL807" s="181"/>
      <c r="AM807" s="181"/>
      <c r="AN807" s="181"/>
      <c r="AO807" s="181"/>
      <c r="AP807" s="181"/>
      <c r="AQ807" s="181"/>
      <c r="AR807" s="181"/>
      <c r="AS807" s="181"/>
      <c r="AT807" s="181"/>
      <c r="AU807" s="181"/>
      <c r="AV807" s="181"/>
      <c r="AW807" s="181"/>
    </row>
    <row r="808" spans="1:49" ht="13.5" customHeight="1" x14ac:dyDescent="0.3">
      <c r="A808" s="1"/>
      <c r="B808" s="181"/>
      <c r="C808" s="181"/>
      <c r="D808" s="181"/>
      <c r="E808" s="182"/>
      <c r="F808" s="182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  <c r="AC808" s="181"/>
      <c r="AD808" s="181"/>
      <c r="AE808" s="181"/>
      <c r="AF808" s="181"/>
      <c r="AG808" s="181"/>
      <c r="AH808" s="181"/>
      <c r="AI808" s="181"/>
      <c r="AJ808" s="181"/>
      <c r="AK808" s="181"/>
      <c r="AL808" s="181"/>
      <c r="AM808" s="181"/>
      <c r="AN808" s="181"/>
      <c r="AO808" s="181"/>
      <c r="AP808" s="181"/>
      <c r="AQ808" s="181"/>
      <c r="AR808" s="181"/>
      <c r="AS808" s="181"/>
      <c r="AT808" s="181"/>
      <c r="AU808" s="181"/>
      <c r="AV808" s="181"/>
      <c r="AW808" s="181"/>
    </row>
    <row r="809" spans="1:49" ht="13.5" customHeight="1" x14ac:dyDescent="0.3">
      <c r="A809" s="1"/>
      <c r="B809" s="181"/>
      <c r="C809" s="181"/>
      <c r="D809" s="181"/>
      <c r="E809" s="182"/>
      <c r="F809" s="182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  <c r="AC809" s="181"/>
      <c r="AD809" s="181"/>
      <c r="AE809" s="181"/>
      <c r="AF809" s="181"/>
      <c r="AG809" s="181"/>
      <c r="AH809" s="181"/>
      <c r="AI809" s="181"/>
      <c r="AJ809" s="181"/>
      <c r="AK809" s="181"/>
      <c r="AL809" s="181"/>
      <c r="AM809" s="181"/>
      <c r="AN809" s="181"/>
      <c r="AO809" s="181"/>
      <c r="AP809" s="181"/>
      <c r="AQ809" s="181"/>
      <c r="AR809" s="181"/>
      <c r="AS809" s="181"/>
      <c r="AT809" s="181"/>
      <c r="AU809" s="181"/>
      <c r="AV809" s="181"/>
      <c r="AW809" s="181"/>
    </row>
    <row r="810" spans="1:49" ht="13.5" customHeight="1" x14ac:dyDescent="0.3">
      <c r="A810" s="1"/>
      <c r="B810" s="181"/>
      <c r="C810" s="181"/>
      <c r="D810" s="181"/>
      <c r="E810" s="182"/>
      <c r="F810" s="182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  <c r="AC810" s="181"/>
      <c r="AD810" s="181"/>
      <c r="AE810" s="181"/>
      <c r="AF810" s="181"/>
      <c r="AG810" s="181"/>
      <c r="AH810" s="181"/>
      <c r="AI810" s="181"/>
      <c r="AJ810" s="181"/>
      <c r="AK810" s="181"/>
      <c r="AL810" s="181"/>
      <c r="AM810" s="181"/>
      <c r="AN810" s="181"/>
      <c r="AO810" s="181"/>
      <c r="AP810" s="181"/>
      <c r="AQ810" s="181"/>
      <c r="AR810" s="181"/>
      <c r="AS810" s="181"/>
      <c r="AT810" s="181"/>
      <c r="AU810" s="181"/>
      <c r="AV810" s="181"/>
      <c r="AW810" s="181"/>
    </row>
    <row r="811" spans="1:49" ht="13.5" customHeight="1" x14ac:dyDescent="0.3">
      <c r="A811" s="1"/>
      <c r="B811" s="181"/>
      <c r="C811" s="181"/>
      <c r="D811" s="181"/>
      <c r="E811" s="182"/>
      <c r="F811" s="182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  <c r="AC811" s="181"/>
      <c r="AD811" s="181"/>
      <c r="AE811" s="181"/>
      <c r="AF811" s="181"/>
      <c r="AG811" s="181"/>
      <c r="AH811" s="181"/>
      <c r="AI811" s="181"/>
      <c r="AJ811" s="181"/>
      <c r="AK811" s="181"/>
      <c r="AL811" s="181"/>
      <c r="AM811" s="181"/>
      <c r="AN811" s="181"/>
      <c r="AO811" s="181"/>
      <c r="AP811" s="181"/>
      <c r="AQ811" s="181"/>
      <c r="AR811" s="181"/>
      <c r="AS811" s="181"/>
      <c r="AT811" s="181"/>
      <c r="AU811" s="181"/>
      <c r="AV811" s="181"/>
      <c r="AW811" s="181"/>
    </row>
    <row r="812" spans="1:49" ht="13.5" customHeight="1" x14ac:dyDescent="0.3">
      <c r="A812" s="1"/>
      <c r="B812" s="181"/>
      <c r="C812" s="181"/>
      <c r="D812" s="181"/>
      <c r="E812" s="182"/>
      <c r="F812" s="182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  <c r="AC812" s="181"/>
      <c r="AD812" s="181"/>
      <c r="AE812" s="181"/>
      <c r="AF812" s="181"/>
      <c r="AG812" s="181"/>
      <c r="AH812" s="181"/>
      <c r="AI812" s="181"/>
      <c r="AJ812" s="181"/>
      <c r="AK812" s="181"/>
      <c r="AL812" s="181"/>
      <c r="AM812" s="181"/>
      <c r="AN812" s="181"/>
      <c r="AO812" s="181"/>
      <c r="AP812" s="181"/>
      <c r="AQ812" s="181"/>
      <c r="AR812" s="181"/>
      <c r="AS812" s="181"/>
      <c r="AT812" s="181"/>
      <c r="AU812" s="181"/>
      <c r="AV812" s="181"/>
      <c r="AW812" s="181"/>
    </row>
    <row r="813" spans="1:49" ht="13.5" customHeight="1" x14ac:dyDescent="0.3">
      <c r="A813" s="1"/>
      <c r="B813" s="181"/>
      <c r="C813" s="181"/>
      <c r="D813" s="181"/>
      <c r="E813" s="182"/>
      <c r="F813" s="182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  <c r="AC813" s="181"/>
      <c r="AD813" s="181"/>
      <c r="AE813" s="181"/>
      <c r="AF813" s="181"/>
      <c r="AG813" s="181"/>
      <c r="AH813" s="181"/>
      <c r="AI813" s="181"/>
      <c r="AJ813" s="181"/>
      <c r="AK813" s="181"/>
      <c r="AL813" s="181"/>
      <c r="AM813" s="181"/>
      <c r="AN813" s="181"/>
      <c r="AO813" s="181"/>
      <c r="AP813" s="181"/>
      <c r="AQ813" s="181"/>
      <c r="AR813" s="181"/>
      <c r="AS813" s="181"/>
      <c r="AT813" s="181"/>
      <c r="AU813" s="181"/>
      <c r="AV813" s="181"/>
      <c r="AW813" s="181"/>
    </row>
    <row r="814" spans="1:49" ht="13.5" customHeight="1" x14ac:dyDescent="0.3">
      <c r="A814" s="1"/>
      <c r="B814" s="181"/>
      <c r="C814" s="181"/>
      <c r="D814" s="181"/>
      <c r="E814" s="182"/>
      <c r="F814" s="182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  <c r="AC814" s="181"/>
      <c r="AD814" s="181"/>
      <c r="AE814" s="181"/>
      <c r="AF814" s="181"/>
      <c r="AG814" s="181"/>
      <c r="AH814" s="181"/>
      <c r="AI814" s="181"/>
      <c r="AJ814" s="181"/>
      <c r="AK814" s="181"/>
      <c r="AL814" s="181"/>
      <c r="AM814" s="181"/>
      <c r="AN814" s="181"/>
      <c r="AO814" s="181"/>
      <c r="AP814" s="181"/>
      <c r="AQ814" s="181"/>
      <c r="AR814" s="181"/>
      <c r="AS814" s="181"/>
      <c r="AT814" s="181"/>
      <c r="AU814" s="181"/>
      <c r="AV814" s="181"/>
      <c r="AW814" s="181"/>
    </row>
    <row r="815" spans="1:49" ht="13.5" customHeight="1" x14ac:dyDescent="0.3">
      <c r="A815" s="1"/>
      <c r="B815" s="181"/>
      <c r="C815" s="181"/>
      <c r="D815" s="181"/>
      <c r="E815" s="182"/>
      <c r="F815" s="182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  <c r="AC815" s="181"/>
      <c r="AD815" s="181"/>
      <c r="AE815" s="181"/>
      <c r="AF815" s="181"/>
      <c r="AG815" s="181"/>
      <c r="AH815" s="181"/>
      <c r="AI815" s="181"/>
      <c r="AJ815" s="181"/>
      <c r="AK815" s="181"/>
      <c r="AL815" s="181"/>
      <c r="AM815" s="181"/>
      <c r="AN815" s="181"/>
      <c r="AO815" s="181"/>
      <c r="AP815" s="181"/>
      <c r="AQ815" s="181"/>
      <c r="AR815" s="181"/>
      <c r="AS815" s="181"/>
      <c r="AT815" s="181"/>
      <c r="AU815" s="181"/>
      <c r="AV815" s="181"/>
      <c r="AW815" s="181"/>
    </row>
    <row r="816" spans="1:49" ht="13.5" customHeight="1" x14ac:dyDescent="0.3">
      <c r="A816" s="1"/>
      <c r="B816" s="181"/>
      <c r="C816" s="181"/>
      <c r="D816" s="181"/>
      <c r="E816" s="182"/>
      <c r="F816" s="182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  <c r="AC816" s="181"/>
      <c r="AD816" s="181"/>
      <c r="AE816" s="181"/>
      <c r="AF816" s="181"/>
      <c r="AG816" s="181"/>
      <c r="AH816" s="181"/>
      <c r="AI816" s="181"/>
      <c r="AJ816" s="181"/>
      <c r="AK816" s="181"/>
      <c r="AL816" s="181"/>
      <c r="AM816" s="181"/>
      <c r="AN816" s="181"/>
      <c r="AO816" s="181"/>
      <c r="AP816" s="181"/>
      <c r="AQ816" s="181"/>
      <c r="AR816" s="181"/>
      <c r="AS816" s="181"/>
      <c r="AT816" s="181"/>
      <c r="AU816" s="181"/>
      <c r="AV816" s="181"/>
      <c r="AW816" s="181"/>
    </row>
    <row r="817" spans="1:49" ht="13.5" customHeight="1" x14ac:dyDescent="0.3">
      <c r="A817" s="1"/>
      <c r="B817" s="181"/>
      <c r="C817" s="181"/>
      <c r="D817" s="181"/>
      <c r="E817" s="182"/>
      <c r="F817" s="182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  <c r="AC817" s="181"/>
      <c r="AD817" s="181"/>
      <c r="AE817" s="181"/>
      <c r="AF817" s="181"/>
      <c r="AG817" s="181"/>
      <c r="AH817" s="181"/>
      <c r="AI817" s="181"/>
      <c r="AJ817" s="181"/>
      <c r="AK817" s="181"/>
      <c r="AL817" s="181"/>
      <c r="AM817" s="181"/>
      <c r="AN817" s="181"/>
      <c r="AO817" s="181"/>
      <c r="AP817" s="181"/>
      <c r="AQ817" s="181"/>
      <c r="AR817" s="181"/>
      <c r="AS817" s="181"/>
      <c r="AT817" s="181"/>
      <c r="AU817" s="181"/>
      <c r="AV817" s="181"/>
      <c r="AW817" s="181"/>
    </row>
    <row r="818" spans="1:49" ht="13.5" customHeight="1" x14ac:dyDescent="0.3">
      <c r="A818" s="1"/>
      <c r="B818" s="181"/>
      <c r="C818" s="181"/>
      <c r="D818" s="181"/>
      <c r="E818" s="182"/>
      <c r="F818" s="182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  <c r="AC818" s="181"/>
      <c r="AD818" s="181"/>
      <c r="AE818" s="181"/>
      <c r="AF818" s="181"/>
      <c r="AG818" s="181"/>
      <c r="AH818" s="181"/>
      <c r="AI818" s="181"/>
      <c r="AJ818" s="181"/>
      <c r="AK818" s="181"/>
      <c r="AL818" s="181"/>
      <c r="AM818" s="181"/>
      <c r="AN818" s="181"/>
      <c r="AO818" s="181"/>
      <c r="AP818" s="181"/>
      <c r="AQ818" s="181"/>
      <c r="AR818" s="181"/>
      <c r="AS818" s="181"/>
      <c r="AT818" s="181"/>
      <c r="AU818" s="181"/>
      <c r="AV818" s="181"/>
      <c r="AW818" s="181"/>
    </row>
    <row r="819" spans="1:49" ht="13.5" customHeight="1" x14ac:dyDescent="0.3">
      <c r="A819" s="1"/>
      <c r="B819" s="181"/>
      <c r="C819" s="181"/>
      <c r="D819" s="181"/>
      <c r="E819" s="182"/>
      <c r="F819" s="182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  <c r="AC819" s="181"/>
      <c r="AD819" s="181"/>
      <c r="AE819" s="181"/>
      <c r="AF819" s="181"/>
      <c r="AG819" s="181"/>
      <c r="AH819" s="181"/>
      <c r="AI819" s="181"/>
      <c r="AJ819" s="181"/>
      <c r="AK819" s="181"/>
      <c r="AL819" s="181"/>
      <c r="AM819" s="181"/>
      <c r="AN819" s="181"/>
      <c r="AO819" s="181"/>
      <c r="AP819" s="181"/>
      <c r="AQ819" s="181"/>
      <c r="AR819" s="181"/>
      <c r="AS819" s="181"/>
      <c r="AT819" s="181"/>
      <c r="AU819" s="181"/>
      <c r="AV819" s="181"/>
      <c r="AW819" s="181"/>
    </row>
    <row r="820" spans="1:49" ht="13.5" customHeight="1" x14ac:dyDescent="0.3">
      <c r="A820" s="1"/>
      <c r="B820" s="181"/>
      <c r="C820" s="181"/>
      <c r="D820" s="181"/>
      <c r="E820" s="182"/>
      <c r="F820" s="182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  <c r="AC820" s="181"/>
      <c r="AD820" s="181"/>
      <c r="AE820" s="181"/>
      <c r="AF820" s="181"/>
      <c r="AG820" s="181"/>
      <c r="AH820" s="181"/>
      <c r="AI820" s="181"/>
      <c r="AJ820" s="181"/>
      <c r="AK820" s="181"/>
      <c r="AL820" s="181"/>
      <c r="AM820" s="181"/>
      <c r="AN820" s="181"/>
      <c r="AO820" s="181"/>
      <c r="AP820" s="181"/>
      <c r="AQ820" s="181"/>
      <c r="AR820" s="181"/>
      <c r="AS820" s="181"/>
      <c r="AT820" s="181"/>
      <c r="AU820" s="181"/>
      <c r="AV820" s="181"/>
      <c r="AW820" s="181"/>
    </row>
    <row r="821" spans="1:49" ht="13.5" customHeight="1" x14ac:dyDescent="0.3">
      <c r="A821" s="1"/>
      <c r="B821" s="181"/>
      <c r="C821" s="181"/>
      <c r="D821" s="181"/>
      <c r="E821" s="182"/>
      <c r="F821" s="182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  <c r="AC821" s="181"/>
      <c r="AD821" s="181"/>
      <c r="AE821" s="181"/>
      <c r="AF821" s="181"/>
      <c r="AG821" s="181"/>
      <c r="AH821" s="181"/>
      <c r="AI821" s="181"/>
      <c r="AJ821" s="181"/>
      <c r="AK821" s="181"/>
      <c r="AL821" s="181"/>
      <c r="AM821" s="181"/>
      <c r="AN821" s="181"/>
      <c r="AO821" s="181"/>
      <c r="AP821" s="181"/>
      <c r="AQ821" s="181"/>
      <c r="AR821" s="181"/>
      <c r="AS821" s="181"/>
      <c r="AT821" s="181"/>
      <c r="AU821" s="181"/>
      <c r="AV821" s="181"/>
      <c r="AW821" s="181"/>
    </row>
    <row r="822" spans="1:49" ht="13.5" customHeight="1" x14ac:dyDescent="0.3">
      <c r="A822" s="1"/>
      <c r="B822" s="181"/>
      <c r="C822" s="181"/>
      <c r="D822" s="181"/>
      <c r="E822" s="182"/>
      <c r="F822" s="182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  <c r="AC822" s="181"/>
      <c r="AD822" s="181"/>
      <c r="AE822" s="181"/>
      <c r="AF822" s="181"/>
      <c r="AG822" s="181"/>
      <c r="AH822" s="181"/>
      <c r="AI822" s="181"/>
      <c r="AJ822" s="181"/>
      <c r="AK822" s="181"/>
      <c r="AL822" s="181"/>
      <c r="AM822" s="181"/>
      <c r="AN822" s="181"/>
      <c r="AO822" s="181"/>
      <c r="AP822" s="181"/>
      <c r="AQ822" s="181"/>
      <c r="AR822" s="181"/>
      <c r="AS822" s="181"/>
      <c r="AT822" s="181"/>
      <c r="AU822" s="181"/>
      <c r="AV822" s="181"/>
      <c r="AW822" s="181"/>
    </row>
    <row r="823" spans="1:49" ht="13.5" customHeight="1" x14ac:dyDescent="0.3">
      <c r="A823" s="1"/>
      <c r="B823" s="181"/>
      <c r="C823" s="181"/>
      <c r="D823" s="181"/>
      <c r="E823" s="182"/>
      <c r="F823" s="182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  <c r="AC823" s="181"/>
      <c r="AD823" s="181"/>
      <c r="AE823" s="181"/>
      <c r="AF823" s="181"/>
      <c r="AG823" s="181"/>
      <c r="AH823" s="181"/>
      <c r="AI823" s="181"/>
      <c r="AJ823" s="181"/>
      <c r="AK823" s="181"/>
      <c r="AL823" s="181"/>
      <c r="AM823" s="181"/>
      <c r="AN823" s="181"/>
      <c r="AO823" s="181"/>
      <c r="AP823" s="181"/>
      <c r="AQ823" s="181"/>
      <c r="AR823" s="181"/>
      <c r="AS823" s="181"/>
      <c r="AT823" s="181"/>
      <c r="AU823" s="181"/>
      <c r="AV823" s="181"/>
      <c r="AW823" s="181"/>
    </row>
    <row r="824" spans="1:49" ht="13.5" customHeight="1" x14ac:dyDescent="0.3">
      <c r="A824" s="1"/>
      <c r="B824" s="181"/>
      <c r="C824" s="181"/>
      <c r="D824" s="181"/>
      <c r="E824" s="182"/>
      <c r="F824" s="182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  <c r="AC824" s="181"/>
      <c r="AD824" s="181"/>
      <c r="AE824" s="181"/>
      <c r="AF824" s="181"/>
      <c r="AG824" s="181"/>
      <c r="AH824" s="181"/>
      <c r="AI824" s="181"/>
      <c r="AJ824" s="181"/>
      <c r="AK824" s="181"/>
      <c r="AL824" s="181"/>
      <c r="AM824" s="181"/>
      <c r="AN824" s="181"/>
      <c r="AO824" s="181"/>
      <c r="AP824" s="181"/>
      <c r="AQ824" s="181"/>
      <c r="AR824" s="181"/>
      <c r="AS824" s="181"/>
      <c r="AT824" s="181"/>
      <c r="AU824" s="181"/>
      <c r="AV824" s="181"/>
      <c r="AW824" s="181"/>
    </row>
    <row r="825" spans="1:49" ht="13.5" customHeight="1" x14ac:dyDescent="0.3">
      <c r="A825" s="1"/>
      <c r="B825" s="181"/>
      <c r="C825" s="181"/>
      <c r="D825" s="181"/>
      <c r="E825" s="182"/>
      <c r="F825" s="182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  <c r="AC825" s="181"/>
      <c r="AD825" s="181"/>
      <c r="AE825" s="181"/>
      <c r="AF825" s="181"/>
      <c r="AG825" s="181"/>
      <c r="AH825" s="181"/>
      <c r="AI825" s="181"/>
      <c r="AJ825" s="181"/>
      <c r="AK825" s="181"/>
      <c r="AL825" s="181"/>
      <c r="AM825" s="181"/>
      <c r="AN825" s="181"/>
      <c r="AO825" s="181"/>
      <c r="AP825" s="181"/>
      <c r="AQ825" s="181"/>
      <c r="AR825" s="181"/>
      <c r="AS825" s="181"/>
      <c r="AT825" s="181"/>
      <c r="AU825" s="181"/>
      <c r="AV825" s="181"/>
      <c r="AW825" s="181"/>
    </row>
    <row r="826" spans="1:49" ht="13.5" customHeight="1" x14ac:dyDescent="0.3">
      <c r="A826" s="1"/>
      <c r="B826" s="181"/>
      <c r="C826" s="181"/>
      <c r="D826" s="181"/>
      <c r="E826" s="182"/>
      <c r="F826" s="182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  <c r="AC826" s="181"/>
      <c r="AD826" s="181"/>
      <c r="AE826" s="181"/>
      <c r="AF826" s="181"/>
      <c r="AG826" s="181"/>
      <c r="AH826" s="181"/>
      <c r="AI826" s="181"/>
      <c r="AJ826" s="181"/>
      <c r="AK826" s="181"/>
      <c r="AL826" s="181"/>
      <c r="AM826" s="181"/>
      <c r="AN826" s="181"/>
      <c r="AO826" s="181"/>
      <c r="AP826" s="181"/>
      <c r="AQ826" s="181"/>
      <c r="AR826" s="181"/>
      <c r="AS826" s="181"/>
      <c r="AT826" s="181"/>
      <c r="AU826" s="181"/>
      <c r="AV826" s="181"/>
      <c r="AW826" s="181"/>
    </row>
    <row r="827" spans="1:49" ht="13.5" customHeight="1" x14ac:dyDescent="0.3">
      <c r="A827" s="1"/>
      <c r="B827" s="181"/>
      <c r="C827" s="181"/>
      <c r="D827" s="181"/>
      <c r="E827" s="182"/>
      <c r="F827" s="182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  <c r="AC827" s="181"/>
      <c r="AD827" s="181"/>
      <c r="AE827" s="181"/>
      <c r="AF827" s="181"/>
      <c r="AG827" s="181"/>
      <c r="AH827" s="181"/>
      <c r="AI827" s="181"/>
      <c r="AJ827" s="181"/>
      <c r="AK827" s="181"/>
      <c r="AL827" s="181"/>
      <c r="AM827" s="181"/>
      <c r="AN827" s="181"/>
      <c r="AO827" s="181"/>
      <c r="AP827" s="181"/>
      <c r="AQ827" s="181"/>
      <c r="AR827" s="181"/>
      <c r="AS827" s="181"/>
      <c r="AT827" s="181"/>
      <c r="AU827" s="181"/>
      <c r="AV827" s="181"/>
      <c r="AW827" s="181"/>
    </row>
    <row r="828" spans="1:49" ht="13.5" customHeight="1" x14ac:dyDescent="0.3">
      <c r="A828" s="1"/>
      <c r="B828" s="181"/>
      <c r="C828" s="181"/>
      <c r="D828" s="181"/>
      <c r="E828" s="182"/>
      <c r="F828" s="182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  <c r="AC828" s="181"/>
      <c r="AD828" s="181"/>
      <c r="AE828" s="181"/>
      <c r="AF828" s="181"/>
      <c r="AG828" s="181"/>
      <c r="AH828" s="181"/>
      <c r="AI828" s="181"/>
      <c r="AJ828" s="181"/>
      <c r="AK828" s="181"/>
      <c r="AL828" s="181"/>
      <c r="AM828" s="181"/>
      <c r="AN828" s="181"/>
      <c r="AO828" s="181"/>
      <c r="AP828" s="181"/>
      <c r="AQ828" s="181"/>
      <c r="AR828" s="181"/>
      <c r="AS828" s="181"/>
      <c r="AT828" s="181"/>
      <c r="AU828" s="181"/>
      <c r="AV828" s="181"/>
      <c r="AW828" s="181"/>
    </row>
    <row r="829" spans="1:49" ht="13.5" customHeight="1" x14ac:dyDescent="0.3">
      <c r="A829" s="1"/>
      <c r="B829" s="181"/>
      <c r="C829" s="181"/>
      <c r="D829" s="181"/>
      <c r="E829" s="182"/>
      <c r="F829" s="182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  <c r="AC829" s="181"/>
      <c r="AD829" s="181"/>
      <c r="AE829" s="181"/>
      <c r="AF829" s="181"/>
      <c r="AG829" s="181"/>
      <c r="AH829" s="181"/>
      <c r="AI829" s="181"/>
      <c r="AJ829" s="181"/>
      <c r="AK829" s="181"/>
      <c r="AL829" s="181"/>
      <c r="AM829" s="181"/>
      <c r="AN829" s="181"/>
      <c r="AO829" s="181"/>
      <c r="AP829" s="181"/>
      <c r="AQ829" s="181"/>
      <c r="AR829" s="181"/>
      <c r="AS829" s="181"/>
      <c r="AT829" s="181"/>
      <c r="AU829" s="181"/>
      <c r="AV829" s="181"/>
      <c r="AW829" s="181"/>
    </row>
    <row r="830" spans="1:49" ht="13.5" customHeight="1" x14ac:dyDescent="0.3">
      <c r="A830" s="1"/>
      <c r="B830" s="181"/>
      <c r="C830" s="181"/>
      <c r="D830" s="181"/>
      <c r="E830" s="182"/>
      <c r="F830" s="182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  <c r="AC830" s="181"/>
      <c r="AD830" s="181"/>
      <c r="AE830" s="181"/>
      <c r="AF830" s="181"/>
      <c r="AG830" s="181"/>
      <c r="AH830" s="181"/>
      <c r="AI830" s="181"/>
      <c r="AJ830" s="181"/>
      <c r="AK830" s="181"/>
      <c r="AL830" s="181"/>
      <c r="AM830" s="181"/>
      <c r="AN830" s="181"/>
      <c r="AO830" s="181"/>
      <c r="AP830" s="181"/>
      <c r="AQ830" s="181"/>
      <c r="AR830" s="181"/>
      <c r="AS830" s="181"/>
      <c r="AT830" s="181"/>
      <c r="AU830" s="181"/>
      <c r="AV830" s="181"/>
      <c r="AW830" s="181"/>
    </row>
    <row r="831" spans="1:49" ht="13.5" customHeight="1" x14ac:dyDescent="0.3">
      <c r="A831" s="1"/>
      <c r="B831" s="181"/>
      <c r="C831" s="181"/>
      <c r="D831" s="181"/>
      <c r="E831" s="182"/>
      <c r="F831" s="182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  <c r="AC831" s="181"/>
      <c r="AD831" s="181"/>
      <c r="AE831" s="181"/>
      <c r="AF831" s="181"/>
      <c r="AG831" s="181"/>
      <c r="AH831" s="181"/>
      <c r="AI831" s="181"/>
      <c r="AJ831" s="181"/>
      <c r="AK831" s="181"/>
      <c r="AL831" s="181"/>
      <c r="AM831" s="181"/>
      <c r="AN831" s="181"/>
      <c r="AO831" s="181"/>
      <c r="AP831" s="181"/>
      <c r="AQ831" s="181"/>
      <c r="AR831" s="181"/>
      <c r="AS831" s="181"/>
      <c r="AT831" s="181"/>
      <c r="AU831" s="181"/>
      <c r="AV831" s="181"/>
      <c r="AW831" s="181"/>
    </row>
    <row r="832" spans="1:49" ht="13.5" customHeight="1" x14ac:dyDescent="0.3">
      <c r="A832" s="1"/>
      <c r="B832" s="181"/>
      <c r="C832" s="181"/>
      <c r="D832" s="181"/>
      <c r="E832" s="182"/>
      <c r="F832" s="182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  <c r="AC832" s="181"/>
      <c r="AD832" s="181"/>
      <c r="AE832" s="181"/>
      <c r="AF832" s="181"/>
      <c r="AG832" s="181"/>
      <c r="AH832" s="181"/>
      <c r="AI832" s="181"/>
      <c r="AJ832" s="181"/>
      <c r="AK832" s="181"/>
      <c r="AL832" s="181"/>
      <c r="AM832" s="181"/>
      <c r="AN832" s="181"/>
      <c r="AO832" s="181"/>
      <c r="AP832" s="181"/>
      <c r="AQ832" s="181"/>
      <c r="AR832" s="181"/>
      <c r="AS832" s="181"/>
      <c r="AT832" s="181"/>
      <c r="AU832" s="181"/>
      <c r="AV832" s="181"/>
      <c r="AW832" s="181"/>
    </row>
    <row r="833" spans="1:49" ht="13.5" customHeight="1" x14ac:dyDescent="0.3">
      <c r="A833" s="1"/>
      <c r="B833" s="181"/>
      <c r="C833" s="181"/>
      <c r="D833" s="181"/>
      <c r="E833" s="182"/>
      <c r="F833" s="182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  <c r="AC833" s="181"/>
      <c r="AD833" s="181"/>
      <c r="AE833" s="181"/>
      <c r="AF833" s="181"/>
      <c r="AG833" s="181"/>
      <c r="AH833" s="181"/>
      <c r="AI833" s="181"/>
      <c r="AJ833" s="181"/>
      <c r="AK833" s="181"/>
      <c r="AL833" s="181"/>
      <c r="AM833" s="181"/>
      <c r="AN833" s="181"/>
      <c r="AO833" s="181"/>
      <c r="AP833" s="181"/>
      <c r="AQ833" s="181"/>
      <c r="AR833" s="181"/>
      <c r="AS833" s="181"/>
      <c r="AT833" s="181"/>
      <c r="AU833" s="181"/>
      <c r="AV833" s="181"/>
      <c r="AW833" s="181"/>
    </row>
    <row r="834" spans="1:49" ht="13.5" customHeight="1" x14ac:dyDescent="0.3">
      <c r="A834" s="1"/>
      <c r="B834" s="181"/>
      <c r="C834" s="181"/>
      <c r="D834" s="181"/>
      <c r="E834" s="182"/>
      <c r="F834" s="182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  <c r="AC834" s="181"/>
      <c r="AD834" s="181"/>
      <c r="AE834" s="181"/>
      <c r="AF834" s="181"/>
      <c r="AG834" s="181"/>
      <c r="AH834" s="181"/>
      <c r="AI834" s="181"/>
      <c r="AJ834" s="181"/>
      <c r="AK834" s="181"/>
      <c r="AL834" s="181"/>
      <c r="AM834" s="181"/>
      <c r="AN834" s="181"/>
      <c r="AO834" s="181"/>
      <c r="AP834" s="181"/>
      <c r="AQ834" s="181"/>
      <c r="AR834" s="181"/>
      <c r="AS834" s="181"/>
      <c r="AT834" s="181"/>
      <c r="AU834" s="181"/>
      <c r="AV834" s="181"/>
      <c r="AW834" s="181"/>
    </row>
    <row r="835" spans="1:49" ht="13.5" customHeight="1" x14ac:dyDescent="0.3">
      <c r="A835" s="1"/>
      <c r="B835" s="181"/>
      <c r="C835" s="181"/>
      <c r="D835" s="181"/>
      <c r="E835" s="182"/>
      <c r="F835" s="182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  <c r="AC835" s="181"/>
      <c r="AD835" s="181"/>
      <c r="AE835" s="181"/>
      <c r="AF835" s="181"/>
      <c r="AG835" s="181"/>
      <c r="AH835" s="181"/>
      <c r="AI835" s="181"/>
      <c r="AJ835" s="181"/>
      <c r="AK835" s="181"/>
      <c r="AL835" s="181"/>
      <c r="AM835" s="181"/>
      <c r="AN835" s="181"/>
      <c r="AO835" s="181"/>
      <c r="AP835" s="181"/>
      <c r="AQ835" s="181"/>
      <c r="AR835" s="181"/>
      <c r="AS835" s="181"/>
      <c r="AT835" s="181"/>
      <c r="AU835" s="181"/>
      <c r="AV835" s="181"/>
      <c r="AW835" s="181"/>
    </row>
    <row r="836" spans="1:49" ht="13.5" customHeight="1" x14ac:dyDescent="0.3">
      <c r="A836" s="1"/>
      <c r="B836" s="181"/>
      <c r="C836" s="181"/>
      <c r="D836" s="181"/>
      <c r="E836" s="182"/>
      <c r="F836" s="182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  <c r="AC836" s="181"/>
      <c r="AD836" s="181"/>
      <c r="AE836" s="181"/>
      <c r="AF836" s="181"/>
      <c r="AG836" s="181"/>
      <c r="AH836" s="181"/>
      <c r="AI836" s="181"/>
      <c r="AJ836" s="181"/>
      <c r="AK836" s="181"/>
      <c r="AL836" s="181"/>
      <c r="AM836" s="181"/>
      <c r="AN836" s="181"/>
      <c r="AO836" s="181"/>
      <c r="AP836" s="181"/>
      <c r="AQ836" s="181"/>
      <c r="AR836" s="181"/>
      <c r="AS836" s="181"/>
      <c r="AT836" s="181"/>
      <c r="AU836" s="181"/>
      <c r="AV836" s="181"/>
      <c r="AW836" s="181"/>
    </row>
    <row r="837" spans="1:49" ht="13.5" customHeight="1" x14ac:dyDescent="0.3">
      <c r="A837" s="1"/>
      <c r="B837" s="181"/>
      <c r="C837" s="181"/>
      <c r="D837" s="181"/>
      <c r="E837" s="182"/>
      <c r="F837" s="182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  <c r="AC837" s="181"/>
      <c r="AD837" s="181"/>
      <c r="AE837" s="181"/>
      <c r="AF837" s="181"/>
      <c r="AG837" s="181"/>
      <c r="AH837" s="181"/>
      <c r="AI837" s="181"/>
      <c r="AJ837" s="181"/>
      <c r="AK837" s="181"/>
      <c r="AL837" s="181"/>
      <c r="AM837" s="181"/>
      <c r="AN837" s="181"/>
      <c r="AO837" s="181"/>
      <c r="AP837" s="181"/>
      <c r="AQ837" s="181"/>
      <c r="AR837" s="181"/>
      <c r="AS837" s="181"/>
      <c r="AT837" s="181"/>
      <c r="AU837" s="181"/>
      <c r="AV837" s="181"/>
      <c r="AW837" s="181"/>
    </row>
    <row r="838" spans="1:49" ht="13.5" customHeight="1" x14ac:dyDescent="0.3">
      <c r="A838" s="1"/>
      <c r="B838" s="181"/>
      <c r="C838" s="181"/>
      <c r="D838" s="181"/>
      <c r="E838" s="182"/>
      <c r="F838" s="182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  <c r="AC838" s="181"/>
      <c r="AD838" s="181"/>
      <c r="AE838" s="181"/>
      <c r="AF838" s="181"/>
      <c r="AG838" s="181"/>
      <c r="AH838" s="181"/>
      <c r="AI838" s="181"/>
      <c r="AJ838" s="181"/>
      <c r="AK838" s="181"/>
      <c r="AL838" s="181"/>
      <c r="AM838" s="181"/>
      <c r="AN838" s="181"/>
      <c r="AO838" s="181"/>
      <c r="AP838" s="181"/>
      <c r="AQ838" s="181"/>
      <c r="AR838" s="181"/>
      <c r="AS838" s="181"/>
      <c r="AT838" s="181"/>
      <c r="AU838" s="181"/>
      <c r="AV838" s="181"/>
      <c r="AW838" s="181"/>
    </row>
    <row r="839" spans="1:49" ht="13.5" customHeight="1" x14ac:dyDescent="0.3">
      <c r="A839" s="1"/>
      <c r="B839" s="181"/>
      <c r="C839" s="181"/>
      <c r="D839" s="181"/>
      <c r="E839" s="182"/>
      <c r="F839" s="182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  <c r="AC839" s="181"/>
      <c r="AD839" s="181"/>
      <c r="AE839" s="181"/>
      <c r="AF839" s="181"/>
      <c r="AG839" s="181"/>
      <c r="AH839" s="181"/>
      <c r="AI839" s="181"/>
      <c r="AJ839" s="181"/>
      <c r="AK839" s="181"/>
      <c r="AL839" s="181"/>
      <c r="AM839" s="181"/>
      <c r="AN839" s="181"/>
      <c r="AO839" s="181"/>
      <c r="AP839" s="181"/>
      <c r="AQ839" s="181"/>
      <c r="AR839" s="181"/>
      <c r="AS839" s="181"/>
      <c r="AT839" s="181"/>
      <c r="AU839" s="181"/>
      <c r="AV839" s="181"/>
      <c r="AW839" s="181"/>
    </row>
    <row r="840" spans="1:49" ht="13.5" customHeight="1" x14ac:dyDescent="0.3">
      <c r="A840" s="1"/>
      <c r="B840" s="181"/>
      <c r="C840" s="181"/>
      <c r="D840" s="181"/>
      <c r="E840" s="182"/>
      <c r="F840" s="182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  <c r="AC840" s="181"/>
      <c r="AD840" s="181"/>
      <c r="AE840" s="181"/>
      <c r="AF840" s="181"/>
      <c r="AG840" s="181"/>
      <c r="AH840" s="181"/>
      <c r="AI840" s="181"/>
      <c r="AJ840" s="181"/>
      <c r="AK840" s="181"/>
      <c r="AL840" s="181"/>
      <c r="AM840" s="181"/>
      <c r="AN840" s="181"/>
      <c r="AO840" s="181"/>
      <c r="AP840" s="181"/>
      <c r="AQ840" s="181"/>
      <c r="AR840" s="181"/>
      <c r="AS840" s="181"/>
      <c r="AT840" s="181"/>
      <c r="AU840" s="181"/>
      <c r="AV840" s="181"/>
      <c r="AW840" s="181"/>
    </row>
    <row r="841" spans="1:49" ht="13.5" customHeight="1" x14ac:dyDescent="0.3">
      <c r="A841" s="1"/>
      <c r="B841" s="181"/>
      <c r="C841" s="181"/>
      <c r="D841" s="181"/>
      <c r="E841" s="182"/>
      <c r="F841" s="182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  <c r="AC841" s="181"/>
      <c r="AD841" s="181"/>
      <c r="AE841" s="181"/>
      <c r="AF841" s="181"/>
      <c r="AG841" s="181"/>
      <c r="AH841" s="181"/>
      <c r="AI841" s="181"/>
      <c r="AJ841" s="181"/>
      <c r="AK841" s="181"/>
      <c r="AL841" s="181"/>
      <c r="AM841" s="181"/>
      <c r="AN841" s="181"/>
      <c r="AO841" s="181"/>
      <c r="AP841" s="181"/>
      <c r="AQ841" s="181"/>
      <c r="AR841" s="181"/>
      <c r="AS841" s="181"/>
      <c r="AT841" s="181"/>
      <c r="AU841" s="181"/>
      <c r="AV841" s="181"/>
      <c r="AW841" s="181"/>
    </row>
    <row r="842" spans="1:49" ht="13.5" customHeight="1" x14ac:dyDescent="0.3">
      <c r="A842" s="1"/>
      <c r="B842" s="181"/>
      <c r="C842" s="181"/>
      <c r="D842" s="181"/>
      <c r="E842" s="182"/>
      <c r="F842" s="182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  <c r="AC842" s="181"/>
      <c r="AD842" s="181"/>
      <c r="AE842" s="181"/>
      <c r="AF842" s="181"/>
      <c r="AG842" s="181"/>
      <c r="AH842" s="181"/>
      <c r="AI842" s="181"/>
      <c r="AJ842" s="181"/>
      <c r="AK842" s="181"/>
      <c r="AL842" s="181"/>
      <c r="AM842" s="181"/>
      <c r="AN842" s="181"/>
      <c r="AO842" s="181"/>
      <c r="AP842" s="181"/>
      <c r="AQ842" s="181"/>
      <c r="AR842" s="181"/>
      <c r="AS842" s="181"/>
      <c r="AT842" s="181"/>
      <c r="AU842" s="181"/>
      <c r="AV842" s="181"/>
      <c r="AW842" s="181"/>
    </row>
    <row r="843" spans="1:49" ht="13.5" customHeight="1" x14ac:dyDescent="0.3">
      <c r="A843" s="1"/>
      <c r="B843" s="181"/>
      <c r="C843" s="181"/>
      <c r="D843" s="181"/>
      <c r="E843" s="182"/>
      <c r="F843" s="182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  <c r="AC843" s="181"/>
      <c r="AD843" s="181"/>
      <c r="AE843" s="181"/>
      <c r="AF843" s="181"/>
      <c r="AG843" s="181"/>
      <c r="AH843" s="181"/>
      <c r="AI843" s="181"/>
      <c r="AJ843" s="181"/>
      <c r="AK843" s="181"/>
      <c r="AL843" s="181"/>
      <c r="AM843" s="181"/>
      <c r="AN843" s="181"/>
      <c r="AO843" s="181"/>
      <c r="AP843" s="181"/>
      <c r="AQ843" s="181"/>
      <c r="AR843" s="181"/>
      <c r="AS843" s="181"/>
      <c r="AT843" s="181"/>
      <c r="AU843" s="181"/>
      <c r="AV843" s="181"/>
      <c r="AW843" s="181"/>
    </row>
    <row r="844" spans="1:49" ht="13.5" customHeight="1" x14ac:dyDescent="0.3">
      <c r="A844" s="1"/>
      <c r="B844" s="181"/>
      <c r="C844" s="181"/>
      <c r="D844" s="181"/>
      <c r="E844" s="182"/>
      <c r="F844" s="182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  <c r="AC844" s="181"/>
      <c r="AD844" s="181"/>
      <c r="AE844" s="181"/>
      <c r="AF844" s="181"/>
      <c r="AG844" s="181"/>
      <c r="AH844" s="181"/>
      <c r="AI844" s="181"/>
      <c r="AJ844" s="181"/>
      <c r="AK844" s="181"/>
      <c r="AL844" s="181"/>
      <c r="AM844" s="181"/>
      <c r="AN844" s="181"/>
      <c r="AO844" s="181"/>
      <c r="AP844" s="181"/>
      <c r="AQ844" s="181"/>
      <c r="AR844" s="181"/>
      <c r="AS844" s="181"/>
      <c r="AT844" s="181"/>
      <c r="AU844" s="181"/>
      <c r="AV844" s="181"/>
      <c r="AW844" s="181"/>
    </row>
    <row r="845" spans="1:49" ht="13.5" customHeight="1" x14ac:dyDescent="0.3">
      <c r="A845" s="1"/>
      <c r="B845" s="181"/>
      <c r="C845" s="181"/>
      <c r="D845" s="181"/>
      <c r="E845" s="182"/>
      <c r="F845" s="182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  <c r="AC845" s="181"/>
      <c r="AD845" s="181"/>
      <c r="AE845" s="181"/>
      <c r="AF845" s="181"/>
      <c r="AG845" s="181"/>
      <c r="AH845" s="181"/>
      <c r="AI845" s="181"/>
      <c r="AJ845" s="181"/>
      <c r="AK845" s="181"/>
      <c r="AL845" s="181"/>
      <c r="AM845" s="181"/>
      <c r="AN845" s="181"/>
      <c r="AO845" s="181"/>
      <c r="AP845" s="181"/>
      <c r="AQ845" s="181"/>
      <c r="AR845" s="181"/>
      <c r="AS845" s="181"/>
      <c r="AT845" s="181"/>
      <c r="AU845" s="181"/>
      <c r="AV845" s="181"/>
      <c r="AW845" s="181"/>
    </row>
    <row r="846" spans="1:49" ht="13.5" customHeight="1" x14ac:dyDescent="0.3">
      <c r="A846" s="1"/>
      <c r="B846" s="181"/>
      <c r="C846" s="181"/>
      <c r="D846" s="181"/>
      <c r="E846" s="182"/>
      <c r="F846" s="182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  <c r="AC846" s="181"/>
      <c r="AD846" s="181"/>
      <c r="AE846" s="181"/>
      <c r="AF846" s="181"/>
      <c r="AG846" s="181"/>
      <c r="AH846" s="181"/>
      <c r="AI846" s="181"/>
      <c r="AJ846" s="181"/>
      <c r="AK846" s="181"/>
      <c r="AL846" s="181"/>
      <c r="AM846" s="181"/>
      <c r="AN846" s="181"/>
      <c r="AO846" s="181"/>
      <c r="AP846" s="181"/>
      <c r="AQ846" s="181"/>
      <c r="AR846" s="181"/>
      <c r="AS846" s="181"/>
      <c r="AT846" s="181"/>
      <c r="AU846" s="181"/>
      <c r="AV846" s="181"/>
      <c r="AW846" s="181"/>
    </row>
    <row r="847" spans="1:49" ht="13.5" customHeight="1" x14ac:dyDescent="0.3">
      <c r="A847" s="1"/>
      <c r="B847" s="181"/>
      <c r="C847" s="181"/>
      <c r="D847" s="181"/>
      <c r="E847" s="182"/>
      <c r="F847" s="182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  <c r="AC847" s="181"/>
      <c r="AD847" s="181"/>
      <c r="AE847" s="181"/>
      <c r="AF847" s="181"/>
      <c r="AG847" s="181"/>
      <c r="AH847" s="181"/>
      <c r="AI847" s="181"/>
      <c r="AJ847" s="181"/>
      <c r="AK847" s="181"/>
      <c r="AL847" s="181"/>
      <c r="AM847" s="181"/>
      <c r="AN847" s="181"/>
      <c r="AO847" s="181"/>
      <c r="AP847" s="181"/>
      <c r="AQ847" s="181"/>
      <c r="AR847" s="181"/>
      <c r="AS847" s="181"/>
      <c r="AT847" s="181"/>
      <c r="AU847" s="181"/>
      <c r="AV847" s="181"/>
      <c r="AW847" s="181"/>
    </row>
    <row r="848" spans="1:49" ht="13.5" customHeight="1" x14ac:dyDescent="0.3">
      <c r="A848" s="1"/>
      <c r="B848" s="181"/>
      <c r="C848" s="181"/>
      <c r="D848" s="181"/>
      <c r="E848" s="182"/>
      <c r="F848" s="182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  <c r="AC848" s="181"/>
      <c r="AD848" s="181"/>
      <c r="AE848" s="181"/>
      <c r="AF848" s="181"/>
      <c r="AG848" s="181"/>
      <c r="AH848" s="181"/>
      <c r="AI848" s="181"/>
      <c r="AJ848" s="181"/>
      <c r="AK848" s="181"/>
      <c r="AL848" s="181"/>
      <c r="AM848" s="181"/>
      <c r="AN848" s="181"/>
      <c r="AO848" s="181"/>
      <c r="AP848" s="181"/>
      <c r="AQ848" s="181"/>
      <c r="AR848" s="181"/>
      <c r="AS848" s="181"/>
      <c r="AT848" s="181"/>
      <c r="AU848" s="181"/>
      <c r="AV848" s="181"/>
      <c r="AW848" s="181"/>
    </row>
    <row r="849" spans="1:49" ht="13.5" customHeight="1" x14ac:dyDescent="0.3">
      <c r="A849" s="1"/>
      <c r="B849" s="181"/>
      <c r="C849" s="181"/>
      <c r="D849" s="181"/>
      <c r="E849" s="182"/>
      <c r="F849" s="182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  <c r="AC849" s="181"/>
      <c r="AD849" s="181"/>
      <c r="AE849" s="181"/>
      <c r="AF849" s="181"/>
      <c r="AG849" s="181"/>
      <c r="AH849" s="181"/>
      <c r="AI849" s="181"/>
      <c r="AJ849" s="181"/>
      <c r="AK849" s="181"/>
      <c r="AL849" s="181"/>
      <c r="AM849" s="181"/>
      <c r="AN849" s="181"/>
      <c r="AO849" s="181"/>
      <c r="AP849" s="181"/>
      <c r="AQ849" s="181"/>
      <c r="AR849" s="181"/>
      <c r="AS849" s="181"/>
      <c r="AT849" s="181"/>
      <c r="AU849" s="181"/>
      <c r="AV849" s="181"/>
      <c r="AW849" s="181"/>
    </row>
    <row r="850" spans="1:49" ht="13.5" customHeight="1" x14ac:dyDescent="0.3">
      <c r="A850" s="1"/>
      <c r="B850" s="181"/>
      <c r="C850" s="181"/>
      <c r="D850" s="181"/>
      <c r="E850" s="182"/>
      <c r="F850" s="182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  <c r="AC850" s="181"/>
      <c r="AD850" s="181"/>
      <c r="AE850" s="181"/>
      <c r="AF850" s="181"/>
      <c r="AG850" s="181"/>
      <c r="AH850" s="181"/>
      <c r="AI850" s="181"/>
      <c r="AJ850" s="181"/>
      <c r="AK850" s="181"/>
      <c r="AL850" s="181"/>
      <c r="AM850" s="181"/>
      <c r="AN850" s="181"/>
      <c r="AO850" s="181"/>
      <c r="AP850" s="181"/>
      <c r="AQ850" s="181"/>
      <c r="AR850" s="181"/>
      <c r="AS850" s="181"/>
      <c r="AT850" s="181"/>
      <c r="AU850" s="181"/>
      <c r="AV850" s="181"/>
      <c r="AW850" s="181"/>
    </row>
    <row r="851" spans="1:49" ht="13.5" customHeight="1" x14ac:dyDescent="0.3">
      <c r="A851" s="1"/>
      <c r="B851" s="181"/>
      <c r="C851" s="181"/>
      <c r="D851" s="181"/>
      <c r="E851" s="182"/>
      <c r="F851" s="182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  <c r="AC851" s="181"/>
      <c r="AD851" s="181"/>
      <c r="AE851" s="181"/>
      <c r="AF851" s="181"/>
      <c r="AG851" s="181"/>
      <c r="AH851" s="181"/>
      <c r="AI851" s="181"/>
      <c r="AJ851" s="181"/>
      <c r="AK851" s="181"/>
      <c r="AL851" s="181"/>
      <c r="AM851" s="181"/>
      <c r="AN851" s="181"/>
      <c r="AO851" s="181"/>
      <c r="AP851" s="181"/>
      <c r="AQ851" s="181"/>
      <c r="AR851" s="181"/>
      <c r="AS851" s="181"/>
      <c r="AT851" s="181"/>
      <c r="AU851" s="181"/>
      <c r="AV851" s="181"/>
      <c r="AW851" s="181"/>
    </row>
    <row r="852" spans="1:49" ht="13.5" customHeight="1" x14ac:dyDescent="0.3">
      <c r="A852" s="1"/>
      <c r="B852" s="181"/>
      <c r="C852" s="181"/>
      <c r="D852" s="181"/>
      <c r="E852" s="182"/>
      <c r="F852" s="182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  <c r="AC852" s="181"/>
      <c r="AD852" s="181"/>
      <c r="AE852" s="181"/>
      <c r="AF852" s="181"/>
      <c r="AG852" s="181"/>
      <c r="AH852" s="181"/>
      <c r="AI852" s="181"/>
      <c r="AJ852" s="181"/>
      <c r="AK852" s="181"/>
      <c r="AL852" s="181"/>
      <c r="AM852" s="181"/>
      <c r="AN852" s="181"/>
      <c r="AO852" s="181"/>
      <c r="AP852" s="181"/>
      <c r="AQ852" s="181"/>
      <c r="AR852" s="181"/>
      <c r="AS852" s="181"/>
      <c r="AT852" s="181"/>
      <c r="AU852" s="181"/>
      <c r="AV852" s="181"/>
      <c r="AW852" s="181"/>
    </row>
    <row r="853" spans="1:49" ht="13.5" customHeight="1" x14ac:dyDescent="0.3">
      <c r="A853" s="1"/>
      <c r="B853" s="181"/>
      <c r="C853" s="181"/>
      <c r="D853" s="181"/>
      <c r="E853" s="182"/>
      <c r="F853" s="182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  <c r="AC853" s="181"/>
      <c r="AD853" s="181"/>
      <c r="AE853" s="181"/>
      <c r="AF853" s="181"/>
      <c r="AG853" s="181"/>
      <c r="AH853" s="181"/>
      <c r="AI853" s="181"/>
      <c r="AJ853" s="181"/>
      <c r="AK853" s="181"/>
      <c r="AL853" s="181"/>
      <c r="AM853" s="181"/>
      <c r="AN853" s="181"/>
      <c r="AO853" s="181"/>
      <c r="AP853" s="181"/>
      <c r="AQ853" s="181"/>
      <c r="AR853" s="181"/>
      <c r="AS853" s="181"/>
      <c r="AT853" s="181"/>
      <c r="AU853" s="181"/>
      <c r="AV853" s="181"/>
      <c r="AW853" s="181"/>
    </row>
    <row r="854" spans="1:49" ht="13.5" customHeight="1" x14ac:dyDescent="0.3">
      <c r="A854" s="1"/>
      <c r="B854" s="181"/>
      <c r="C854" s="181"/>
      <c r="D854" s="181"/>
      <c r="E854" s="182"/>
      <c r="F854" s="182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  <c r="AC854" s="181"/>
      <c r="AD854" s="181"/>
      <c r="AE854" s="181"/>
      <c r="AF854" s="181"/>
      <c r="AG854" s="181"/>
      <c r="AH854" s="181"/>
      <c r="AI854" s="181"/>
      <c r="AJ854" s="181"/>
      <c r="AK854" s="181"/>
      <c r="AL854" s="181"/>
      <c r="AM854" s="181"/>
      <c r="AN854" s="181"/>
      <c r="AO854" s="181"/>
      <c r="AP854" s="181"/>
      <c r="AQ854" s="181"/>
      <c r="AR854" s="181"/>
      <c r="AS854" s="181"/>
      <c r="AT854" s="181"/>
      <c r="AU854" s="181"/>
      <c r="AV854" s="181"/>
      <c r="AW854" s="181"/>
    </row>
    <row r="855" spans="1:49" ht="13.5" customHeight="1" x14ac:dyDescent="0.3">
      <c r="A855" s="1"/>
      <c r="B855" s="181"/>
      <c r="C855" s="181"/>
      <c r="D855" s="181"/>
      <c r="E855" s="182"/>
      <c r="F855" s="182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  <c r="AC855" s="181"/>
      <c r="AD855" s="181"/>
      <c r="AE855" s="181"/>
      <c r="AF855" s="181"/>
      <c r="AG855" s="181"/>
      <c r="AH855" s="181"/>
      <c r="AI855" s="181"/>
      <c r="AJ855" s="181"/>
      <c r="AK855" s="181"/>
      <c r="AL855" s="181"/>
      <c r="AM855" s="181"/>
      <c r="AN855" s="181"/>
      <c r="AO855" s="181"/>
      <c r="AP855" s="181"/>
      <c r="AQ855" s="181"/>
      <c r="AR855" s="181"/>
      <c r="AS855" s="181"/>
      <c r="AT855" s="181"/>
      <c r="AU855" s="181"/>
      <c r="AV855" s="181"/>
      <c r="AW855" s="181"/>
    </row>
    <row r="856" spans="1:49" ht="13.5" customHeight="1" x14ac:dyDescent="0.3">
      <c r="A856" s="1"/>
      <c r="B856" s="181"/>
      <c r="C856" s="181"/>
      <c r="D856" s="181"/>
      <c r="E856" s="182"/>
      <c r="F856" s="182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  <c r="AC856" s="181"/>
      <c r="AD856" s="181"/>
      <c r="AE856" s="181"/>
      <c r="AF856" s="181"/>
      <c r="AG856" s="181"/>
      <c r="AH856" s="181"/>
      <c r="AI856" s="181"/>
      <c r="AJ856" s="181"/>
      <c r="AK856" s="181"/>
      <c r="AL856" s="181"/>
      <c r="AM856" s="181"/>
      <c r="AN856" s="181"/>
      <c r="AO856" s="181"/>
      <c r="AP856" s="181"/>
      <c r="AQ856" s="181"/>
      <c r="AR856" s="181"/>
      <c r="AS856" s="181"/>
      <c r="AT856" s="181"/>
      <c r="AU856" s="181"/>
      <c r="AV856" s="181"/>
      <c r="AW856" s="181"/>
    </row>
    <row r="857" spans="1:49" ht="13.5" customHeight="1" x14ac:dyDescent="0.3">
      <c r="A857" s="1"/>
      <c r="B857" s="181"/>
      <c r="C857" s="181"/>
      <c r="D857" s="181"/>
      <c r="E857" s="182"/>
      <c r="F857" s="182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  <c r="AC857" s="181"/>
      <c r="AD857" s="181"/>
      <c r="AE857" s="181"/>
      <c r="AF857" s="181"/>
      <c r="AG857" s="181"/>
      <c r="AH857" s="181"/>
      <c r="AI857" s="181"/>
      <c r="AJ857" s="181"/>
      <c r="AK857" s="181"/>
      <c r="AL857" s="181"/>
      <c r="AM857" s="181"/>
      <c r="AN857" s="181"/>
      <c r="AO857" s="181"/>
      <c r="AP857" s="181"/>
      <c r="AQ857" s="181"/>
      <c r="AR857" s="181"/>
      <c r="AS857" s="181"/>
      <c r="AT857" s="181"/>
      <c r="AU857" s="181"/>
      <c r="AV857" s="181"/>
      <c r="AW857" s="181"/>
    </row>
    <row r="858" spans="1:49" ht="13.5" customHeight="1" x14ac:dyDescent="0.3">
      <c r="A858" s="1"/>
      <c r="B858" s="181"/>
      <c r="C858" s="181"/>
      <c r="D858" s="181"/>
      <c r="E858" s="182"/>
      <c r="F858" s="182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  <c r="AC858" s="181"/>
      <c r="AD858" s="181"/>
      <c r="AE858" s="181"/>
      <c r="AF858" s="181"/>
      <c r="AG858" s="181"/>
      <c r="AH858" s="181"/>
      <c r="AI858" s="181"/>
      <c r="AJ858" s="181"/>
      <c r="AK858" s="181"/>
      <c r="AL858" s="181"/>
      <c r="AM858" s="181"/>
      <c r="AN858" s="181"/>
      <c r="AO858" s="181"/>
      <c r="AP858" s="181"/>
      <c r="AQ858" s="181"/>
      <c r="AR858" s="181"/>
      <c r="AS858" s="181"/>
      <c r="AT858" s="181"/>
      <c r="AU858" s="181"/>
      <c r="AV858" s="181"/>
      <c r="AW858" s="181"/>
    </row>
    <row r="859" spans="1:49" ht="13.5" customHeight="1" x14ac:dyDescent="0.3">
      <c r="A859" s="1"/>
      <c r="B859" s="181"/>
      <c r="C859" s="181"/>
      <c r="D859" s="181"/>
      <c r="E859" s="182"/>
      <c r="F859" s="182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  <c r="AC859" s="181"/>
      <c r="AD859" s="181"/>
      <c r="AE859" s="181"/>
      <c r="AF859" s="181"/>
      <c r="AG859" s="181"/>
      <c r="AH859" s="181"/>
      <c r="AI859" s="181"/>
      <c r="AJ859" s="181"/>
      <c r="AK859" s="181"/>
      <c r="AL859" s="181"/>
      <c r="AM859" s="181"/>
      <c r="AN859" s="181"/>
      <c r="AO859" s="181"/>
      <c r="AP859" s="181"/>
      <c r="AQ859" s="181"/>
      <c r="AR859" s="181"/>
      <c r="AS859" s="181"/>
      <c r="AT859" s="181"/>
      <c r="AU859" s="181"/>
      <c r="AV859" s="181"/>
      <c r="AW859" s="181"/>
    </row>
    <row r="860" spans="1:49" ht="13.5" customHeight="1" x14ac:dyDescent="0.3">
      <c r="A860" s="1"/>
      <c r="B860" s="181"/>
      <c r="C860" s="181"/>
      <c r="D860" s="181"/>
      <c r="E860" s="182"/>
      <c r="F860" s="182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  <c r="AC860" s="181"/>
      <c r="AD860" s="181"/>
      <c r="AE860" s="181"/>
      <c r="AF860" s="181"/>
      <c r="AG860" s="181"/>
      <c r="AH860" s="181"/>
      <c r="AI860" s="181"/>
      <c r="AJ860" s="181"/>
      <c r="AK860" s="181"/>
      <c r="AL860" s="181"/>
      <c r="AM860" s="181"/>
      <c r="AN860" s="181"/>
      <c r="AO860" s="181"/>
      <c r="AP860" s="181"/>
      <c r="AQ860" s="181"/>
      <c r="AR860" s="181"/>
      <c r="AS860" s="181"/>
      <c r="AT860" s="181"/>
      <c r="AU860" s="181"/>
      <c r="AV860" s="181"/>
      <c r="AW860" s="181"/>
    </row>
    <row r="861" spans="1:49" ht="13.5" customHeight="1" x14ac:dyDescent="0.3">
      <c r="A861" s="1"/>
      <c r="B861" s="181"/>
      <c r="C861" s="181"/>
      <c r="D861" s="181"/>
      <c r="E861" s="182"/>
      <c r="F861" s="182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  <c r="AC861" s="181"/>
      <c r="AD861" s="181"/>
      <c r="AE861" s="181"/>
      <c r="AF861" s="181"/>
      <c r="AG861" s="181"/>
      <c r="AH861" s="181"/>
      <c r="AI861" s="181"/>
      <c r="AJ861" s="181"/>
      <c r="AK861" s="181"/>
      <c r="AL861" s="181"/>
      <c r="AM861" s="181"/>
      <c r="AN861" s="181"/>
      <c r="AO861" s="181"/>
      <c r="AP861" s="181"/>
      <c r="AQ861" s="181"/>
      <c r="AR861" s="181"/>
      <c r="AS861" s="181"/>
      <c r="AT861" s="181"/>
      <c r="AU861" s="181"/>
      <c r="AV861" s="181"/>
      <c r="AW861" s="181"/>
    </row>
    <row r="862" spans="1:49" ht="13.5" customHeight="1" x14ac:dyDescent="0.3">
      <c r="A862" s="1"/>
      <c r="B862" s="181"/>
      <c r="C862" s="181"/>
      <c r="D862" s="181"/>
      <c r="E862" s="182"/>
      <c r="F862" s="182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  <c r="AC862" s="181"/>
      <c r="AD862" s="181"/>
      <c r="AE862" s="181"/>
      <c r="AF862" s="181"/>
      <c r="AG862" s="181"/>
      <c r="AH862" s="181"/>
      <c r="AI862" s="181"/>
      <c r="AJ862" s="181"/>
      <c r="AK862" s="181"/>
      <c r="AL862" s="181"/>
      <c r="AM862" s="181"/>
      <c r="AN862" s="181"/>
      <c r="AO862" s="181"/>
      <c r="AP862" s="181"/>
      <c r="AQ862" s="181"/>
      <c r="AR862" s="181"/>
      <c r="AS862" s="181"/>
      <c r="AT862" s="181"/>
      <c r="AU862" s="181"/>
      <c r="AV862" s="181"/>
      <c r="AW862" s="181"/>
    </row>
    <row r="863" spans="1:49" ht="13.5" customHeight="1" x14ac:dyDescent="0.3">
      <c r="A863" s="1"/>
      <c r="B863" s="181"/>
      <c r="C863" s="181"/>
      <c r="D863" s="181"/>
      <c r="E863" s="182"/>
      <c r="F863" s="182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  <c r="AC863" s="181"/>
      <c r="AD863" s="181"/>
      <c r="AE863" s="181"/>
      <c r="AF863" s="181"/>
      <c r="AG863" s="181"/>
      <c r="AH863" s="181"/>
      <c r="AI863" s="181"/>
      <c r="AJ863" s="181"/>
      <c r="AK863" s="181"/>
      <c r="AL863" s="181"/>
      <c r="AM863" s="181"/>
      <c r="AN863" s="181"/>
      <c r="AO863" s="181"/>
      <c r="AP863" s="181"/>
      <c r="AQ863" s="181"/>
      <c r="AR863" s="181"/>
      <c r="AS863" s="181"/>
      <c r="AT863" s="181"/>
      <c r="AU863" s="181"/>
      <c r="AV863" s="181"/>
      <c r="AW863" s="181"/>
    </row>
    <row r="864" spans="1:49" ht="13.5" customHeight="1" x14ac:dyDescent="0.3">
      <c r="A864" s="1"/>
      <c r="B864" s="181"/>
      <c r="C864" s="181"/>
      <c r="D864" s="181"/>
      <c r="E864" s="182"/>
      <c r="F864" s="182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  <c r="AC864" s="181"/>
      <c r="AD864" s="181"/>
      <c r="AE864" s="181"/>
      <c r="AF864" s="181"/>
      <c r="AG864" s="181"/>
      <c r="AH864" s="181"/>
      <c r="AI864" s="181"/>
      <c r="AJ864" s="181"/>
      <c r="AK864" s="181"/>
      <c r="AL864" s="181"/>
      <c r="AM864" s="181"/>
      <c r="AN864" s="181"/>
      <c r="AO864" s="181"/>
      <c r="AP864" s="181"/>
      <c r="AQ864" s="181"/>
      <c r="AR864" s="181"/>
      <c r="AS864" s="181"/>
      <c r="AT864" s="181"/>
      <c r="AU864" s="181"/>
      <c r="AV864" s="181"/>
      <c r="AW864" s="181"/>
    </row>
    <row r="865" spans="1:49" ht="13.5" customHeight="1" x14ac:dyDescent="0.3">
      <c r="A865" s="1"/>
      <c r="B865" s="181"/>
      <c r="C865" s="181"/>
      <c r="D865" s="181"/>
      <c r="E865" s="182"/>
      <c r="F865" s="182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  <c r="AC865" s="181"/>
      <c r="AD865" s="181"/>
      <c r="AE865" s="181"/>
      <c r="AF865" s="181"/>
      <c r="AG865" s="181"/>
      <c r="AH865" s="181"/>
      <c r="AI865" s="181"/>
      <c r="AJ865" s="181"/>
      <c r="AK865" s="181"/>
      <c r="AL865" s="181"/>
      <c r="AM865" s="181"/>
      <c r="AN865" s="181"/>
      <c r="AO865" s="181"/>
      <c r="AP865" s="181"/>
      <c r="AQ865" s="181"/>
      <c r="AR865" s="181"/>
      <c r="AS865" s="181"/>
      <c r="AT865" s="181"/>
      <c r="AU865" s="181"/>
      <c r="AV865" s="181"/>
      <c r="AW865" s="181"/>
    </row>
    <row r="866" spans="1:49" ht="13.5" customHeight="1" x14ac:dyDescent="0.3">
      <c r="A866" s="1"/>
      <c r="B866" s="181"/>
      <c r="C866" s="181"/>
      <c r="D866" s="181"/>
      <c r="E866" s="182"/>
      <c r="F866" s="182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  <c r="AC866" s="181"/>
      <c r="AD866" s="181"/>
      <c r="AE866" s="181"/>
      <c r="AF866" s="181"/>
      <c r="AG866" s="181"/>
      <c r="AH866" s="181"/>
      <c r="AI866" s="181"/>
      <c r="AJ866" s="181"/>
      <c r="AK866" s="181"/>
      <c r="AL866" s="181"/>
      <c r="AM866" s="181"/>
      <c r="AN866" s="181"/>
      <c r="AO866" s="181"/>
      <c r="AP866" s="181"/>
      <c r="AQ866" s="181"/>
      <c r="AR866" s="181"/>
      <c r="AS866" s="181"/>
      <c r="AT866" s="181"/>
      <c r="AU866" s="181"/>
      <c r="AV866" s="181"/>
      <c r="AW866" s="181"/>
    </row>
    <row r="867" spans="1:49" ht="13.5" customHeight="1" x14ac:dyDescent="0.3">
      <c r="A867" s="1"/>
      <c r="B867" s="181"/>
      <c r="C867" s="181"/>
      <c r="D867" s="181"/>
      <c r="E867" s="182"/>
      <c r="F867" s="182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  <c r="AC867" s="181"/>
      <c r="AD867" s="181"/>
      <c r="AE867" s="181"/>
      <c r="AF867" s="181"/>
      <c r="AG867" s="181"/>
      <c r="AH867" s="181"/>
      <c r="AI867" s="181"/>
      <c r="AJ867" s="181"/>
      <c r="AK867" s="181"/>
      <c r="AL867" s="181"/>
      <c r="AM867" s="181"/>
      <c r="AN867" s="181"/>
      <c r="AO867" s="181"/>
      <c r="AP867" s="181"/>
      <c r="AQ867" s="181"/>
      <c r="AR867" s="181"/>
      <c r="AS867" s="181"/>
      <c r="AT867" s="181"/>
      <c r="AU867" s="181"/>
      <c r="AV867" s="181"/>
      <c r="AW867" s="181"/>
    </row>
    <row r="868" spans="1:49" ht="13.5" customHeight="1" x14ac:dyDescent="0.3">
      <c r="A868" s="1"/>
      <c r="B868" s="181"/>
      <c r="C868" s="181"/>
      <c r="D868" s="181"/>
      <c r="E868" s="182"/>
      <c r="F868" s="182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  <c r="AC868" s="181"/>
      <c r="AD868" s="181"/>
      <c r="AE868" s="181"/>
      <c r="AF868" s="181"/>
      <c r="AG868" s="181"/>
      <c r="AH868" s="181"/>
      <c r="AI868" s="181"/>
      <c r="AJ868" s="181"/>
      <c r="AK868" s="181"/>
      <c r="AL868" s="181"/>
      <c r="AM868" s="181"/>
      <c r="AN868" s="181"/>
      <c r="AO868" s="181"/>
      <c r="AP868" s="181"/>
      <c r="AQ868" s="181"/>
      <c r="AR868" s="181"/>
      <c r="AS868" s="181"/>
      <c r="AT868" s="181"/>
      <c r="AU868" s="181"/>
      <c r="AV868" s="181"/>
      <c r="AW868" s="181"/>
    </row>
    <row r="869" spans="1:49" ht="13.5" customHeight="1" x14ac:dyDescent="0.3">
      <c r="A869" s="1"/>
      <c r="B869" s="181"/>
      <c r="C869" s="181"/>
      <c r="D869" s="181"/>
      <c r="E869" s="182"/>
      <c r="F869" s="182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  <c r="AC869" s="181"/>
      <c r="AD869" s="181"/>
      <c r="AE869" s="181"/>
      <c r="AF869" s="181"/>
      <c r="AG869" s="181"/>
      <c r="AH869" s="181"/>
      <c r="AI869" s="181"/>
      <c r="AJ869" s="181"/>
      <c r="AK869" s="181"/>
      <c r="AL869" s="181"/>
      <c r="AM869" s="181"/>
      <c r="AN869" s="181"/>
      <c r="AO869" s="181"/>
      <c r="AP869" s="181"/>
      <c r="AQ869" s="181"/>
      <c r="AR869" s="181"/>
      <c r="AS869" s="181"/>
      <c r="AT869" s="181"/>
      <c r="AU869" s="181"/>
      <c r="AV869" s="181"/>
      <c r="AW869" s="181"/>
    </row>
    <row r="870" spans="1:49" ht="13.5" customHeight="1" x14ac:dyDescent="0.3">
      <c r="A870" s="1"/>
      <c r="B870" s="181"/>
      <c r="C870" s="181"/>
      <c r="D870" s="181"/>
      <c r="E870" s="182"/>
      <c r="F870" s="182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  <c r="AC870" s="181"/>
      <c r="AD870" s="181"/>
      <c r="AE870" s="181"/>
      <c r="AF870" s="181"/>
      <c r="AG870" s="181"/>
      <c r="AH870" s="181"/>
      <c r="AI870" s="181"/>
      <c r="AJ870" s="181"/>
      <c r="AK870" s="181"/>
      <c r="AL870" s="181"/>
      <c r="AM870" s="181"/>
      <c r="AN870" s="181"/>
      <c r="AO870" s="181"/>
      <c r="AP870" s="181"/>
      <c r="AQ870" s="181"/>
      <c r="AR870" s="181"/>
      <c r="AS870" s="181"/>
      <c r="AT870" s="181"/>
      <c r="AU870" s="181"/>
      <c r="AV870" s="181"/>
      <c r="AW870" s="181"/>
    </row>
    <row r="871" spans="1:49" ht="13.5" customHeight="1" x14ac:dyDescent="0.3">
      <c r="A871" s="1"/>
      <c r="B871" s="181"/>
      <c r="C871" s="181"/>
      <c r="D871" s="181"/>
      <c r="E871" s="182"/>
      <c r="F871" s="182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  <c r="AC871" s="181"/>
      <c r="AD871" s="181"/>
      <c r="AE871" s="181"/>
      <c r="AF871" s="181"/>
      <c r="AG871" s="181"/>
      <c r="AH871" s="181"/>
      <c r="AI871" s="181"/>
      <c r="AJ871" s="181"/>
      <c r="AK871" s="181"/>
      <c r="AL871" s="181"/>
      <c r="AM871" s="181"/>
      <c r="AN871" s="181"/>
      <c r="AO871" s="181"/>
      <c r="AP871" s="181"/>
      <c r="AQ871" s="181"/>
      <c r="AR871" s="181"/>
      <c r="AS871" s="181"/>
      <c r="AT871" s="181"/>
      <c r="AU871" s="181"/>
      <c r="AV871" s="181"/>
      <c r="AW871" s="181"/>
    </row>
    <row r="872" spans="1:49" ht="13.5" customHeight="1" x14ac:dyDescent="0.3">
      <c r="A872" s="1"/>
      <c r="B872" s="181"/>
      <c r="C872" s="181"/>
      <c r="D872" s="181"/>
      <c r="E872" s="182"/>
      <c r="F872" s="182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  <c r="AC872" s="181"/>
      <c r="AD872" s="181"/>
      <c r="AE872" s="181"/>
      <c r="AF872" s="181"/>
      <c r="AG872" s="181"/>
      <c r="AH872" s="181"/>
      <c r="AI872" s="181"/>
      <c r="AJ872" s="181"/>
      <c r="AK872" s="181"/>
      <c r="AL872" s="181"/>
      <c r="AM872" s="181"/>
      <c r="AN872" s="181"/>
      <c r="AO872" s="181"/>
      <c r="AP872" s="181"/>
      <c r="AQ872" s="181"/>
      <c r="AR872" s="181"/>
      <c r="AS872" s="181"/>
      <c r="AT872" s="181"/>
      <c r="AU872" s="181"/>
      <c r="AV872" s="181"/>
      <c r="AW872" s="181"/>
    </row>
    <row r="873" spans="1:49" ht="13.5" customHeight="1" x14ac:dyDescent="0.3">
      <c r="A873" s="1"/>
      <c r="B873" s="181"/>
      <c r="C873" s="181"/>
      <c r="D873" s="181"/>
      <c r="E873" s="182"/>
      <c r="F873" s="182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  <c r="AC873" s="181"/>
      <c r="AD873" s="181"/>
      <c r="AE873" s="181"/>
      <c r="AF873" s="181"/>
      <c r="AG873" s="181"/>
      <c r="AH873" s="181"/>
      <c r="AI873" s="181"/>
      <c r="AJ873" s="181"/>
      <c r="AK873" s="181"/>
      <c r="AL873" s="181"/>
      <c r="AM873" s="181"/>
      <c r="AN873" s="181"/>
      <c r="AO873" s="181"/>
      <c r="AP873" s="181"/>
      <c r="AQ873" s="181"/>
      <c r="AR873" s="181"/>
      <c r="AS873" s="181"/>
      <c r="AT873" s="181"/>
      <c r="AU873" s="181"/>
      <c r="AV873" s="181"/>
      <c r="AW873" s="181"/>
    </row>
    <row r="874" spans="1:49" ht="13.5" customHeight="1" x14ac:dyDescent="0.3">
      <c r="A874" s="1"/>
      <c r="B874" s="181"/>
      <c r="C874" s="181"/>
      <c r="D874" s="181"/>
      <c r="E874" s="182"/>
      <c r="F874" s="182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  <c r="AC874" s="181"/>
      <c r="AD874" s="181"/>
      <c r="AE874" s="181"/>
      <c r="AF874" s="181"/>
      <c r="AG874" s="181"/>
      <c r="AH874" s="181"/>
      <c r="AI874" s="181"/>
      <c r="AJ874" s="181"/>
      <c r="AK874" s="181"/>
      <c r="AL874" s="181"/>
      <c r="AM874" s="181"/>
      <c r="AN874" s="181"/>
      <c r="AO874" s="181"/>
      <c r="AP874" s="181"/>
      <c r="AQ874" s="181"/>
      <c r="AR874" s="181"/>
      <c r="AS874" s="181"/>
      <c r="AT874" s="181"/>
      <c r="AU874" s="181"/>
      <c r="AV874" s="181"/>
      <c r="AW874" s="181"/>
    </row>
    <row r="875" spans="1:49" ht="13.5" customHeight="1" x14ac:dyDescent="0.3">
      <c r="A875" s="1"/>
      <c r="B875" s="181"/>
      <c r="C875" s="181"/>
      <c r="D875" s="181"/>
      <c r="E875" s="182"/>
      <c r="F875" s="182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  <c r="AC875" s="181"/>
      <c r="AD875" s="181"/>
      <c r="AE875" s="181"/>
      <c r="AF875" s="181"/>
      <c r="AG875" s="181"/>
      <c r="AH875" s="181"/>
      <c r="AI875" s="181"/>
      <c r="AJ875" s="181"/>
      <c r="AK875" s="181"/>
      <c r="AL875" s="181"/>
      <c r="AM875" s="181"/>
      <c r="AN875" s="181"/>
      <c r="AO875" s="181"/>
      <c r="AP875" s="181"/>
      <c r="AQ875" s="181"/>
      <c r="AR875" s="181"/>
      <c r="AS875" s="181"/>
      <c r="AT875" s="181"/>
      <c r="AU875" s="181"/>
      <c r="AV875" s="181"/>
      <c r="AW875" s="181"/>
    </row>
    <row r="876" spans="1:49" ht="13.5" customHeight="1" x14ac:dyDescent="0.3">
      <c r="A876" s="1"/>
      <c r="B876" s="181"/>
      <c r="C876" s="181"/>
      <c r="D876" s="181"/>
      <c r="E876" s="182"/>
      <c r="F876" s="182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  <c r="AC876" s="181"/>
      <c r="AD876" s="181"/>
      <c r="AE876" s="181"/>
      <c r="AF876" s="181"/>
      <c r="AG876" s="181"/>
      <c r="AH876" s="181"/>
      <c r="AI876" s="181"/>
      <c r="AJ876" s="181"/>
      <c r="AK876" s="181"/>
      <c r="AL876" s="181"/>
      <c r="AM876" s="181"/>
      <c r="AN876" s="181"/>
      <c r="AO876" s="181"/>
      <c r="AP876" s="181"/>
      <c r="AQ876" s="181"/>
      <c r="AR876" s="181"/>
      <c r="AS876" s="181"/>
      <c r="AT876" s="181"/>
      <c r="AU876" s="181"/>
      <c r="AV876" s="181"/>
      <c r="AW876" s="181"/>
    </row>
    <row r="877" spans="1:49" ht="13.5" customHeight="1" x14ac:dyDescent="0.3">
      <c r="A877" s="1"/>
      <c r="B877" s="181"/>
      <c r="C877" s="181"/>
      <c r="D877" s="181"/>
      <c r="E877" s="182"/>
      <c r="F877" s="182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  <c r="AC877" s="181"/>
      <c r="AD877" s="181"/>
      <c r="AE877" s="181"/>
      <c r="AF877" s="181"/>
      <c r="AG877" s="181"/>
      <c r="AH877" s="181"/>
      <c r="AI877" s="181"/>
      <c r="AJ877" s="181"/>
      <c r="AK877" s="181"/>
      <c r="AL877" s="181"/>
      <c r="AM877" s="181"/>
      <c r="AN877" s="181"/>
      <c r="AO877" s="181"/>
      <c r="AP877" s="181"/>
      <c r="AQ877" s="181"/>
      <c r="AR877" s="181"/>
      <c r="AS877" s="181"/>
      <c r="AT877" s="181"/>
      <c r="AU877" s="181"/>
      <c r="AV877" s="181"/>
      <c r="AW877" s="181"/>
    </row>
    <row r="878" spans="1:49" ht="13.5" customHeight="1" x14ac:dyDescent="0.3">
      <c r="A878" s="1"/>
      <c r="B878" s="181"/>
      <c r="C878" s="181"/>
      <c r="D878" s="181"/>
      <c r="E878" s="182"/>
      <c r="F878" s="182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  <c r="AC878" s="181"/>
      <c r="AD878" s="181"/>
      <c r="AE878" s="181"/>
      <c r="AF878" s="181"/>
      <c r="AG878" s="181"/>
      <c r="AH878" s="181"/>
      <c r="AI878" s="181"/>
      <c r="AJ878" s="181"/>
      <c r="AK878" s="181"/>
      <c r="AL878" s="181"/>
      <c r="AM878" s="181"/>
      <c r="AN878" s="181"/>
      <c r="AO878" s="181"/>
      <c r="AP878" s="181"/>
      <c r="AQ878" s="181"/>
      <c r="AR878" s="181"/>
      <c r="AS878" s="181"/>
      <c r="AT878" s="181"/>
      <c r="AU878" s="181"/>
      <c r="AV878" s="181"/>
      <c r="AW878" s="181"/>
    </row>
    <row r="879" spans="1:49" ht="13.5" customHeight="1" x14ac:dyDescent="0.3">
      <c r="A879" s="1"/>
      <c r="B879" s="181"/>
      <c r="C879" s="181"/>
      <c r="D879" s="181"/>
      <c r="E879" s="182"/>
      <c r="F879" s="182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  <c r="AC879" s="181"/>
      <c r="AD879" s="181"/>
      <c r="AE879" s="181"/>
      <c r="AF879" s="181"/>
      <c r="AG879" s="181"/>
      <c r="AH879" s="181"/>
      <c r="AI879" s="181"/>
      <c r="AJ879" s="181"/>
      <c r="AK879" s="181"/>
      <c r="AL879" s="181"/>
      <c r="AM879" s="181"/>
      <c r="AN879" s="181"/>
      <c r="AO879" s="181"/>
      <c r="AP879" s="181"/>
      <c r="AQ879" s="181"/>
      <c r="AR879" s="181"/>
      <c r="AS879" s="181"/>
      <c r="AT879" s="181"/>
      <c r="AU879" s="181"/>
      <c r="AV879" s="181"/>
      <c r="AW879" s="181"/>
    </row>
    <row r="880" spans="1:49" ht="13.5" customHeight="1" x14ac:dyDescent="0.3">
      <c r="A880" s="1"/>
      <c r="B880" s="181"/>
      <c r="C880" s="181"/>
      <c r="D880" s="181"/>
      <c r="E880" s="182"/>
      <c r="F880" s="182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  <c r="AC880" s="181"/>
      <c r="AD880" s="181"/>
      <c r="AE880" s="181"/>
      <c r="AF880" s="181"/>
      <c r="AG880" s="181"/>
      <c r="AH880" s="181"/>
      <c r="AI880" s="181"/>
      <c r="AJ880" s="181"/>
      <c r="AK880" s="181"/>
      <c r="AL880" s="181"/>
      <c r="AM880" s="181"/>
      <c r="AN880" s="181"/>
      <c r="AO880" s="181"/>
      <c r="AP880" s="181"/>
      <c r="AQ880" s="181"/>
      <c r="AR880" s="181"/>
      <c r="AS880" s="181"/>
      <c r="AT880" s="181"/>
      <c r="AU880" s="181"/>
      <c r="AV880" s="181"/>
      <c r="AW880" s="181"/>
    </row>
    <row r="881" spans="1:49" ht="13.5" customHeight="1" x14ac:dyDescent="0.3">
      <c r="A881" s="1"/>
      <c r="B881" s="181"/>
      <c r="C881" s="181"/>
      <c r="D881" s="181"/>
      <c r="E881" s="182"/>
      <c r="F881" s="182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  <c r="AC881" s="181"/>
      <c r="AD881" s="181"/>
      <c r="AE881" s="181"/>
      <c r="AF881" s="181"/>
      <c r="AG881" s="181"/>
      <c r="AH881" s="181"/>
      <c r="AI881" s="181"/>
      <c r="AJ881" s="181"/>
      <c r="AK881" s="181"/>
      <c r="AL881" s="181"/>
      <c r="AM881" s="181"/>
      <c r="AN881" s="181"/>
      <c r="AO881" s="181"/>
      <c r="AP881" s="181"/>
      <c r="AQ881" s="181"/>
      <c r="AR881" s="181"/>
      <c r="AS881" s="181"/>
      <c r="AT881" s="181"/>
      <c r="AU881" s="181"/>
      <c r="AV881" s="181"/>
      <c r="AW881" s="181"/>
    </row>
    <row r="882" spans="1:49" ht="13.5" customHeight="1" x14ac:dyDescent="0.3">
      <c r="A882" s="1"/>
      <c r="B882" s="181"/>
      <c r="C882" s="181"/>
      <c r="D882" s="181"/>
      <c r="E882" s="182"/>
      <c r="F882" s="182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  <c r="AC882" s="181"/>
      <c r="AD882" s="181"/>
      <c r="AE882" s="181"/>
      <c r="AF882" s="181"/>
      <c r="AG882" s="181"/>
      <c r="AH882" s="181"/>
      <c r="AI882" s="181"/>
      <c r="AJ882" s="181"/>
      <c r="AK882" s="181"/>
      <c r="AL882" s="181"/>
      <c r="AM882" s="181"/>
      <c r="AN882" s="181"/>
      <c r="AO882" s="181"/>
      <c r="AP882" s="181"/>
      <c r="AQ882" s="181"/>
      <c r="AR882" s="181"/>
      <c r="AS882" s="181"/>
      <c r="AT882" s="181"/>
      <c r="AU882" s="181"/>
      <c r="AV882" s="181"/>
      <c r="AW882" s="181"/>
    </row>
    <row r="883" spans="1:49" ht="13.5" customHeight="1" x14ac:dyDescent="0.3">
      <c r="A883" s="1"/>
      <c r="B883" s="181"/>
      <c r="C883" s="181"/>
      <c r="D883" s="181"/>
      <c r="E883" s="182"/>
      <c r="F883" s="182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  <c r="AC883" s="181"/>
      <c r="AD883" s="181"/>
      <c r="AE883" s="181"/>
      <c r="AF883" s="181"/>
      <c r="AG883" s="181"/>
      <c r="AH883" s="181"/>
      <c r="AI883" s="181"/>
      <c r="AJ883" s="181"/>
      <c r="AK883" s="181"/>
      <c r="AL883" s="181"/>
      <c r="AM883" s="181"/>
      <c r="AN883" s="181"/>
      <c r="AO883" s="181"/>
      <c r="AP883" s="181"/>
      <c r="AQ883" s="181"/>
      <c r="AR883" s="181"/>
      <c r="AS883" s="181"/>
      <c r="AT883" s="181"/>
      <c r="AU883" s="181"/>
      <c r="AV883" s="181"/>
      <c r="AW883" s="181"/>
    </row>
    <row r="884" spans="1:49" ht="13.5" customHeight="1" x14ac:dyDescent="0.3">
      <c r="A884" s="1"/>
      <c r="B884" s="181"/>
      <c r="C884" s="181"/>
      <c r="D884" s="181"/>
      <c r="E884" s="182"/>
      <c r="F884" s="182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  <c r="AC884" s="181"/>
      <c r="AD884" s="181"/>
      <c r="AE884" s="181"/>
      <c r="AF884" s="181"/>
      <c r="AG884" s="181"/>
      <c r="AH884" s="181"/>
      <c r="AI884" s="181"/>
      <c r="AJ884" s="181"/>
      <c r="AK884" s="181"/>
      <c r="AL884" s="181"/>
      <c r="AM884" s="181"/>
      <c r="AN884" s="181"/>
      <c r="AO884" s="181"/>
      <c r="AP884" s="181"/>
      <c r="AQ884" s="181"/>
      <c r="AR884" s="181"/>
      <c r="AS884" s="181"/>
      <c r="AT884" s="181"/>
      <c r="AU884" s="181"/>
      <c r="AV884" s="181"/>
      <c r="AW884" s="181"/>
    </row>
    <row r="885" spans="1:49" ht="13.5" customHeight="1" x14ac:dyDescent="0.3">
      <c r="A885" s="1"/>
      <c r="B885" s="181"/>
      <c r="C885" s="181"/>
      <c r="D885" s="181"/>
      <c r="E885" s="182"/>
      <c r="F885" s="182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  <c r="AC885" s="181"/>
      <c r="AD885" s="181"/>
      <c r="AE885" s="181"/>
      <c r="AF885" s="181"/>
      <c r="AG885" s="181"/>
      <c r="AH885" s="181"/>
      <c r="AI885" s="181"/>
      <c r="AJ885" s="181"/>
      <c r="AK885" s="181"/>
      <c r="AL885" s="181"/>
      <c r="AM885" s="181"/>
      <c r="AN885" s="181"/>
      <c r="AO885" s="181"/>
      <c r="AP885" s="181"/>
      <c r="AQ885" s="181"/>
      <c r="AR885" s="181"/>
      <c r="AS885" s="181"/>
      <c r="AT885" s="181"/>
      <c r="AU885" s="181"/>
      <c r="AV885" s="181"/>
      <c r="AW885" s="181"/>
    </row>
    <row r="886" spans="1:49" ht="13.5" customHeight="1" x14ac:dyDescent="0.3">
      <c r="A886" s="1"/>
      <c r="B886" s="181"/>
      <c r="C886" s="181"/>
      <c r="D886" s="181"/>
      <c r="E886" s="182"/>
      <c r="F886" s="182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  <c r="AC886" s="181"/>
      <c r="AD886" s="181"/>
      <c r="AE886" s="181"/>
      <c r="AF886" s="181"/>
      <c r="AG886" s="181"/>
      <c r="AH886" s="181"/>
      <c r="AI886" s="181"/>
      <c r="AJ886" s="181"/>
      <c r="AK886" s="181"/>
      <c r="AL886" s="181"/>
      <c r="AM886" s="181"/>
      <c r="AN886" s="181"/>
      <c r="AO886" s="181"/>
      <c r="AP886" s="181"/>
      <c r="AQ886" s="181"/>
      <c r="AR886" s="181"/>
      <c r="AS886" s="181"/>
      <c r="AT886" s="181"/>
      <c r="AU886" s="181"/>
      <c r="AV886" s="181"/>
      <c r="AW886" s="181"/>
    </row>
    <row r="887" spans="1:49" ht="13.5" customHeight="1" x14ac:dyDescent="0.3">
      <c r="A887" s="1"/>
      <c r="B887" s="181"/>
      <c r="C887" s="181"/>
      <c r="D887" s="181"/>
      <c r="E887" s="182"/>
      <c r="F887" s="182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  <c r="AC887" s="181"/>
      <c r="AD887" s="181"/>
      <c r="AE887" s="181"/>
      <c r="AF887" s="181"/>
      <c r="AG887" s="181"/>
      <c r="AH887" s="181"/>
      <c r="AI887" s="181"/>
      <c r="AJ887" s="181"/>
      <c r="AK887" s="181"/>
      <c r="AL887" s="181"/>
      <c r="AM887" s="181"/>
      <c r="AN887" s="181"/>
      <c r="AO887" s="181"/>
      <c r="AP887" s="181"/>
      <c r="AQ887" s="181"/>
      <c r="AR887" s="181"/>
      <c r="AS887" s="181"/>
      <c r="AT887" s="181"/>
      <c r="AU887" s="181"/>
      <c r="AV887" s="181"/>
      <c r="AW887" s="181"/>
    </row>
    <row r="888" spans="1:49" ht="13.5" customHeight="1" x14ac:dyDescent="0.3">
      <c r="A888" s="1"/>
      <c r="B888" s="181"/>
      <c r="C888" s="181"/>
      <c r="D888" s="181"/>
      <c r="E888" s="182"/>
      <c r="F888" s="182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  <c r="AC888" s="181"/>
      <c r="AD888" s="181"/>
      <c r="AE888" s="181"/>
      <c r="AF888" s="181"/>
      <c r="AG888" s="181"/>
      <c r="AH888" s="181"/>
      <c r="AI888" s="181"/>
      <c r="AJ888" s="181"/>
      <c r="AK888" s="181"/>
      <c r="AL888" s="181"/>
      <c r="AM888" s="181"/>
      <c r="AN888" s="181"/>
      <c r="AO888" s="181"/>
      <c r="AP888" s="181"/>
      <c r="AQ888" s="181"/>
      <c r="AR888" s="181"/>
      <c r="AS888" s="181"/>
      <c r="AT888" s="181"/>
      <c r="AU888" s="181"/>
      <c r="AV888" s="181"/>
      <c r="AW888" s="181"/>
    </row>
    <row r="889" spans="1:49" ht="13.5" customHeight="1" x14ac:dyDescent="0.3">
      <c r="A889" s="1"/>
      <c r="B889" s="181"/>
      <c r="C889" s="181"/>
      <c r="D889" s="181"/>
      <c r="E889" s="182"/>
      <c r="F889" s="182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  <c r="AC889" s="181"/>
      <c r="AD889" s="181"/>
      <c r="AE889" s="181"/>
      <c r="AF889" s="181"/>
      <c r="AG889" s="181"/>
      <c r="AH889" s="181"/>
      <c r="AI889" s="181"/>
      <c r="AJ889" s="181"/>
      <c r="AK889" s="181"/>
      <c r="AL889" s="181"/>
      <c r="AM889" s="181"/>
      <c r="AN889" s="181"/>
      <c r="AO889" s="181"/>
      <c r="AP889" s="181"/>
      <c r="AQ889" s="181"/>
      <c r="AR889" s="181"/>
      <c r="AS889" s="181"/>
      <c r="AT889" s="181"/>
      <c r="AU889" s="181"/>
      <c r="AV889" s="181"/>
      <c r="AW889" s="181"/>
    </row>
    <row r="890" spans="1:49" ht="13.5" customHeight="1" x14ac:dyDescent="0.3">
      <c r="A890" s="1"/>
      <c r="B890" s="181"/>
      <c r="C890" s="181"/>
      <c r="D890" s="181"/>
      <c r="E890" s="182"/>
      <c r="F890" s="182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  <c r="AC890" s="181"/>
      <c r="AD890" s="181"/>
      <c r="AE890" s="181"/>
      <c r="AF890" s="181"/>
      <c r="AG890" s="181"/>
      <c r="AH890" s="181"/>
      <c r="AI890" s="181"/>
      <c r="AJ890" s="181"/>
      <c r="AK890" s="181"/>
      <c r="AL890" s="181"/>
      <c r="AM890" s="181"/>
      <c r="AN890" s="181"/>
      <c r="AO890" s="181"/>
      <c r="AP890" s="181"/>
      <c r="AQ890" s="181"/>
      <c r="AR890" s="181"/>
      <c r="AS890" s="181"/>
      <c r="AT890" s="181"/>
      <c r="AU890" s="181"/>
      <c r="AV890" s="181"/>
      <c r="AW890" s="181"/>
    </row>
    <row r="891" spans="1:49" ht="13.5" customHeight="1" x14ac:dyDescent="0.3">
      <c r="A891" s="1"/>
      <c r="B891" s="181"/>
      <c r="C891" s="181"/>
      <c r="D891" s="181"/>
      <c r="E891" s="182"/>
      <c r="F891" s="182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  <c r="AC891" s="181"/>
      <c r="AD891" s="181"/>
      <c r="AE891" s="181"/>
      <c r="AF891" s="181"/>
      <c r="AG891" s="181"/>
      <c r="AH891" s="181"/>
      <c r="AI891" s="181"/>
      <c r="AJ891" s="181"/>
      <c r="AK891" s="181"/>
      <c r="AL891" s="181"/>
      <c r="AM891" s="181"/>
      <c r="AN891" s="181"/>
      <c r="AO891" s="181"/>
      <c r="AP891" s="181"/>
      <c r="AQ891" s="181"/>
      <c r="AR891" s="181"/>
      <c r="AS891" s="181"/>
      <c r="AT891" s="181"/>
      <c r="AU891" s="181"/>
      <c r="AV891" s="181"/>
      <c r="AW891" s="181"/>
    </row>
    <row r="892" spans="1:49" ht="13.5" customHeight="1" x14ac:dyDescent="0.3">
      <c r="A892" s="1"/>
      <c r="B892" s="181"/>
      <c r="C892" s="181"/>
      <c r="D892" s="181"/>
      <c r="E892" s="182"/>
      <c r="F892" s="182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  <c r="AC892" s="181"/>
      <c r="AD892" s="181"/>
      <c r="AE892" s="181"/>
      <c r="AF892" s="181"/>
      <c r="AG892" s="181"/>
      <c r="AH892" s="181"/>
      <c r="AI892" s="181"/>
      <c r="AJ892" s="181"/>
      <c r="AK892" s="181"/>
      <c r="AL892" s="181"/>
      <c r="AM892" s="181"/>
      <c r="AN892" s="181"/>
      <c r="AO892" s="181"/>
      <c r="AP892" s="181"/>
      <c r="AQ892" s="181"/>
      <c r="AR892" s="181"/>
      <c r="AS892" s="181"/>
      <c r="AT892" s="181"/>
      <c r="AU892" s="181"/>
      <c r="AV892" s="181"/>
      <c r="AW892" s="181"/>
    </row>
    <row r="893" spans="1:49" ht="13.5" customHeight="1" x14ac:dyDescent="0.3">
      <c r="A893" s="1"/>
      <c r="B893" s="181"/>
      <c r="C893" s="181"/>
      <c r="D893" s="181"/>
      <c r="E893" s="182"/>
      <c r="F893" s="182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  <c r="AC893" s="181"/>
      <c r="AD893" s="181"/>
      <c r="AE893" s="181"/>
      <c r="AF893" s="181"/>
      <c r="AG893" s="181"/>
      <c r="AH893" s="181"/>
      <c r="AI893" s="181"/>
      <c r="AJ893" s="181"/>
      <c r="AK893" s="181"/>
      <c r="AL893" s="181"/>
      <c r="AM893" s="181"/>
      <c r="AN893" s="181"/>
      <c r="AO893" s="181"/>
      <c r="AP893" s="181"/>
      <c r="AQ893" s="181"/>
      <c r="AR893" s="181"/>
      <c r="AS893" s="181"/>
      <c r="AT893" s="181"/>
      <c r="AU893" s="181"/>
      <c r="AV893" s="181"/>
      <c r="AW893" s="181"/>
    </row>
    <row r="894" spans="1:49" ht="13.5" customHeight="1" x14ac:dyDescent="0.3">
      <c r="A894" s="1"/>
      <c r="B894" s="181"/>
      <c r="C894" s="181"/>
      <c r="D894" s="181"/>
      <c r="E894" s="182"/>
      <c r="F894" s="182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  <c r="AC894" s="181"/>
      <c r="AD894" s="181"/>
      <c r="AE894" s="181"/>
      <c r="AF894" s="181"/>
      <c r="AG894" s="181"/>
      <c r="AH894" s="181"/>
      <c r="AI894" s="181"/>
      <c r="AJ894" s="181"/>
      <c r="AK894" s="181"/>
      <c r="AL894" s="181"/>
      <c r="AM894" s="181"/>
      <c r="AN894" s="181"/>
      <c r="AO894" s="181"/>
      <c r="AP894" s="181"/>
      <c r="AQ894" s="181"/>
      <c r="AR894" s="181"/>
      <c r="AS894" s="181"/>
      <c r="AT894" s="181"/>
      <c r="AU894" s="181"/>
      <c r="AV894" s="181"/>
      <c r="AW894" s="181"/>
    </row>
    <row r="895" spans="1:49" ht="13.5" customHeight="1" x14ac:dyDescent="0.3">
      <c r="A895" s="1"/>
      <c r="B895" s="181"/>
      <c r="C895" s="181"/>
      <c r="D895" s="181"/>
      <c r="E895" s="182"/>
      <c r="F895" s="182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  <c r="AC895" s="181"/>
      <c r="AD895" s="181"/>
      <c r="AE895" s="181"/>
      <c r="AF895" s="181"/>
      <c r="AG895" s="181"/>
      <c r="AH895" s="181"/>
      <c r="AI895" s="181"/>
      <c r="AJ895" s="181"/>
      <c r="AK895" s="181"/>
      <c r="AL895" s="181"/>
      <c r="AM895" s="181"/>
      <c r="AN895" s="181"/>
      <c r="AO895" s="181"/>
      <c r="AP895" s="181"/>
      <c r="AQ895" s="181"/>
      <c r="AR895" s="181"/>
      <c r="AS895" s="181"/>
      <c r="AT895" s="181"/>
      <c r="AU895" s="181"/>
      <c r="AV895" s="181"/>
      <c r="AW895" s="181"/>
    </row>
    <row r="896" spans="1:49" ht="13.5" customHeight="1" x14ac:dyDescent="0.3">
      <c r="A896" s="1"/>
      <c r="B896" s="181"/>
      <c r="C896" s="181"/>
      <c r="D896" s="181"/>
      <c r="E896" s="182"/>
      <c r="F896" s="182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  <c r="AC896" s="181"/>
      <c r="AD896" s="181"/>
      <c r="AE896" s="181"/>
      <c r="AF896" s="181"/>
      <c r="AG896" s="181"/>
      <c r="AH896" s="181"/>
      <c r="AI896" s="181"/>
      <c r="AJ896" s="181"/>
      <c r="AK896" s="181"/>
      <c r="AL896" s="181"/>
      <c r="AM896" s="181"/>
      <c r="AN896" s="181"/>
      <c r="AO896" s="181"/>
      <c r="AP896" s="181"/>
      <c r="AQ896" s="181"/>
      <c r="AR896" s="181"/>
      <c r="AS896" s="181"/>
      <c r="AT896" s="181"/>
      <c r="AU896" s="181"/>
      <c r="AV896" s="181"/>
      <c r="AW896" s="181"/>
    </row>
    <row r="897" spans="1:49" ht="13.5" customHeight="1" x14ac:dyDescent="0.3">
      <c r="A897" s="1"/>
      <c r="B897" s="181"/>
      <c r="C897" s="181"/>
      <c r="D897" s="181"/>
      <c r="E897" s="182"/>
      <c r="F897" s="182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  <c r="AC897" s="181"/>
      <c r="AD897" s="181"/>
      <c r="AE897" s="181"/>
      <c r="AF897" s="181"/>
      <c r="AG897" s="181"/>
      <c r="AH897" s="181"/>
      <c r="AI897" s="181"/>
      <c r="AJ897" s="181"/>
      <c r="AK897" s="181"/>
      <c r="AL897" s="181"/>
      <c r="AM897" s="181"/>
      <c r="AN897" s="181"/>
      <c r="AO897" s="181"/>
      <c r="AP897" s="181"/>
      <c r="AQ897" s="181"/>
      <c r="AR897" s="181"/>
      <c r="AS897" s="181"/>
      <c r="AT897" s="181"/>
      <c r="AU897" s="181"/>
      <c r="AV897" s="181"/>
      <c r="AW897" s="181"/>
    </row>
    <row r="898" spans="1:49" ht="13.5" customHeight="1" x14ac:dyDescent="0.3">
      <c r="A898" s="1"/>
      <c r="B898" s="181"/>
      <c r="C898" s="181"/>
      <c r="D898" s="181"/>
      <c r="E898" s="182"/>
      <c r="F898" s="182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  <c r="AC898" s="181"/>
      <c r="AD898" s="181"/>
      <c r="AE898" s="181"/>
      <c r="AF898" s="181"/>
      <c r="AG898" s="181"/>
      <c r="AH898" s="181"/>
      <c r="AI898" s="181"/>
      <c r="AJ898" s="181"/>
      <c r="AK898" s="181"/>
      <c r="AL898" s="181"/>
      <c r="AM898" s="181"/>
      <c r="AN898" s="181"/>
      <c r="AO898" s="181"/>
      <c r="AP898" s="181"/>
      <c r="AQ898" s="181"/>
      <c r="AR898" s="181"/>
      <c r="AS898" s="181"/>
      <c r="AT898" s="181"/>
      <c r="AU898" s="181"/>
      <c r="AV898" s="181"/>
      <c r="AW898" s="181"/>
    </row>
    <row r="899" spans="1:49" ht="13.5" customHeight="1" x14ac:dyDescent="0.3">
      <c r="A899" s="1"/>
      <c r="B899" s="181"/>
      <c r="C899" s="181"/>
      <c r="D899" s="181"/>
      <c r="E899" s="182"/>
      <c r="F899" s="182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  <c r="AC899" s="181"/>
      <c r="AD899" s="181"/>
      <c r="AE899" s="181"/>
      <c r="AF899" s="181"/>
      <c r="AG899" s="181"/>
      <c r="AH899" s="181"/>
      <c r="AI899" s="181"/>
      <c r="AJ899" s="181"/>
      <c r="AK899" s="181"/>
      <c r="AL899" s="181"/>
      <c r="AM899" s="181"/>
      <c r="AN899" s="181"/>
      <c r="AO899" s="181"/>
      <c r="AP899" s="181"/>
      <c r="AQ899" s="181"/>
      <c r="AR899" s="181"/>
      <c r="AS899" s="181"/>
      <c r="AT899" s="181"/>
      <c r="AU899" s="181"/>
      <c r="AV899" s="181"/>
      <c r="AW899" s="181"/>
    </row>
    <row r="900" spans="1:49" ht="13.5" customHeight="1" x14ac:dyDescent="0.3">
      <c r="A900" s="1"/>
      <c r="B900" s="181"/>
      <c r="C900" s="181"/>
      <c r="D900" s="181"/>
      <c r="E900" s="182"/>
      <c r="F900" s="182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  <c r="AC900" s="181"/>
      <c r="AD900" s="181"/>
      <c r="AE900" s="181"/>
      <c r="AF900" s="181"/>
      <c r="AG900" s="181"/>
      <c r="AH900" s="181"/>
      <c r="AI900" s="181"/>
      <c r="AJ900" s="181"/>
      <c r="AK900" s="181"/>
      <c r="AL900" s="181"/>
      <c r="AM900" s="181"/>
      <c r="AN900" s="181"/>
      <c r="AO900" s="181"/>
      <c r="AP900" s="181"/>
      <c r="AQ900" s="181"/>
      <c r="AR900" s="181"/>
      <c r="AS900" s="181"/>
      <c r="AT900" s="181"/>
      <c r="AU900" s="181"/>
      <c r="AV900" s="181"/>
      <c r="AW900" s="181"/>
    </row>
    <row r="901" spans="1:49" ht="13.5" customHeight="1" x14ac:dyDescent="0.3">
      <c r="A901" s="1"/>
      <c r="B901" s="181"/>
      <c r="C901" s="181"/>
      <c r="D901" s="181"/>
      <c r="E901" s="182"/>
      <c r="F901" s="182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  <c r="AC901" s="181"/>
      <c r="AD901" s="181"/>
      <c r="AE901" s="181"/>
      <c r="AF901" s="181"/>
      <c r="AG901" s="181"/>
      <c r="AH901" s="181"/>
      <c r="AI901" s="181"/>
      <c r="AJ901" s="181"/>
      <c r="AK901" s="181"/>
      <c r="AL901" s="181"/>
      <c r="AM901" s="181"/>
      <c r="AN901" s="181"/>
      <c r="AO901" s="181"/>
      <c r="AP901" s="181"/>
      <c r="AQ901" s="181"/>
      <c r="AR901" s="181"/>
      <c r="AS901" s="181"/>
      <c r="AT901" s="181"/>
      <c r="AU901" s="181"/>
      <c r="AV901" s="181"/>
      <c r="AW901" s="181"/>
    </row>
    <row r="902" spans="1:49" ht="13.5" customHeight="1" x14ac:dyDescent="0.3">
      <c r="A902" s="1"/>
      <c r="B902" s="181"/>
      <c r="C902" s="181"/>
      <c r="D902" s="181"/>
      <c r="E902" s="182"/>
      <c r="F902" s="182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  <c r="AC902" s="181"/>
      <c r="AD902" s="181"/>
      <c r="AE902" s="181"/>
      <c r="AF902" s="181"/>
      <c r="AG902" s="181"/>
      <c r="AH902" s="181"/>
      <c r="AI902" s="181"/>
      <c r="AJ902" s="181"/>
      <c r="AK902" s="181"/>
      <c r="AL902" s="181"/>
      <c r="AM902" s="181"/>
      <c r="AN902" s="181"/>
      <c r="AO902" s="181"/>
      <c r="AP902" s="181"/>
      <c r="AQ902" s="181"/>
      <c r="AR902" s="181"/>
      <c r="AS902" s="181"/>
      <c r="AT902" s="181"/>
      <c r="AU902" s="181"/>
      <c r="AV902" s="181"/>
      <c r="AW902" s="181"/>
    </row>
    <row r="903" spans="1:49" ht="13.5" customHeight="1" x14ac:dyDescent="0.3">
      <c r="A903" s="1"/>
      <c r="B903" s="181"/>
      <c r="C903" s="181"/>
      <c r="D903" s="181"/>
      <c r="E903" s="182"/>
      <c r="F903" s="182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  <c r="AC903" s="181"/>
      <c r="AD903" s="181"/>
      <c r="AE903" s="181"/>
      <c r="AF903" s="181"/>
      <c r="AG903" s="181"/>
      <c r="AH903" s="181"/>
      <c r="AI903" s="181"/>
      <c r="AJ903" s="181"/>
      <c r="AK903" s="181"/>
      <c r="AL903" s="181"/>
      <c r="AM903" s="181"/>
      <c r="AN903" s="181"/>
      <c r="AO903" s="181"/>
      <c r="AP903" s="181"/>
      <c r="AQ903" s="181"/>
      <c r="AR903" s="181"/>
      <c r="AS903" s="181"/>
      <c r="AT903" s="181"/>
      <c r="AU903" s="181"/>
      <c r="AV903" s="181"/>
      <c r="AW903" s="181"/>
    </row>
    <row r="904" spans="1:49" ht="13.5" customHeight="1" x14ac:dyDescent="0.3">
      <c r="A904" s="1"/>
      <c r="B904" s="181"/>
      <c r="C904" s="181"/>
      <c r="D904" s="181"/>
      <c r="E904" s="182"/>
      <c r="F904" s="182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  <c r="AC904" s="181"/>
      <c r="AD904" s="181"/>
      <c r="AE904" s="181"/>
      <c r="AF904" s="181"/>
      <c r="AG904" s="181"/>
      <c r="AH904" s="181"/>
      <c r="AI904" s="181"/>
      <c r="AJ904" s="181"/>
      <c r="AK904" s="181"/>
      <c r="AL904" s="181"/>
      <c r="AM904" s="181"/>
      <c r="AN904" s="181"/>
      <c r="AO904" s="181"/>
      <c r="AP904" s="181"/>
      <c r="AQ904" s="181"/>
      <c r="AR904" s="181"/>
      <c r="AS904" s="181"/>
      <c r="AT904" s="181"/>
      <c r="AU904" s="181"/>
      <c r="AV904" s="181"/>
      <c r="AW904" s="181"/>
    </row>
    <row r="905" spans="1:49" ht="13.5" customHeight="1" x14ac:dyDescent="0.3">
      <c r="A905" s="1"/>
      <c r="B905" s="181"/>
      <c r="C905" s="181"/>
      <c r="D905" s="181"/>
      <c r="E905" s="182"/>
      <c r="F905" s="182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  <c r="AC905" s="181"/>
      <c r="AD905" s="181"/>
      <c r="AE905" s="181"/>
      <c r="AF905" s="181"/>
      <c r="AG905" s="181"/>
      <c r="AH905" s="181"/>
      <c r="AI905" s="181"/>
      <c r="AJ905" s="181"/>
      <c r="AK905" s="181"/>
      <c r="AL905" s="181"/>
      <c r="AM905" s="181"/>
      <c r="AN905" s="181"/>
      <c r="AO905" s="181"/>
      <c r="AP905" s="181"/>
      <c r="AQ905" s="181"/>
      <c r="AR905" s="181"/>
      <c r="AS905" s="181"/>
      <c r="AT905" s="181"/>
      <c r="AU905" s="181"/>
      <c r="AV905" s="181"/>
      <c r="AW905" s="181"/>
    </row>
    <row r="906" spans="1:49" ht="13.5" customHeight="1" x14ac:dyDescent="0.3">
      <c r="A906" s="1"/>
      <c r="B906" s="181"/>
      <c r="C906" s="181"/>
      <c r="D906" s="181"/>
      <c r="E906" s="182"/>
      <c r="F906" s="182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  <c r="AC906" s="181"/>
      <c r="AD906" s="181"/>
      <c r="AE906" s="181"/>
      <c r="AF906" s="181"/>
      <c r="AG906" s="181"/>
      <c r="AH906" s="181"/>
      <c r="AI906" s="181"/>
      <c r="AJ906" s="181"/>
      <c r="AK906" s="181"/>
      <c r="AL906" s="181"/>
      <c r="AM906" s="181"/>
      <c r="AN906" s="181"/>
      <c r="AO906" s="181"/>
      <c r="AP906" s="181"/>
      <c r="AQ906" s="181"/>
      <c r="AR906" s="181"/>
      <c r="AS906" s="181"/>
      <c r="AT906" s="181"/>
      <c r="AU906" s="181"/>
      <c r="AV906" s="181"/>
      <c r="AW906" s="181"/>
    </row>
    <row r="907" spans="1:49" ht="13.5" customHeight="1" x14ac:dyDescent="0.3">
      <c r="A907" s="1"/>
      <c r="B907" s="181"/>
      <c r="C907" s="181"/>
      <c r="D907" s="181"/>
      <c r="E907" s="182"/>
      <c r="F907" s="182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  <c r="AC907" s="181"/>
      <c r="AD907" s="181"/>
      <c r="AE907" s="181"/>
      <c r="AF907" s="181"/>
      <c r="AG907" s="181"/>
      <c r="AH907" s="181"/>
      <c r="AI907" s="181"/>
      <c r="AJ907" s="181"/>
      <c r="AK907" s="181"/>
      <c r="AL907" s="181"/>
      <c r="AM907" s="181"/>
      <c r="AN907" s="181"/>
      <c r="AO907" s="181"/>
      <c r="AP907" s="181"/>
      <c r="AQ907" s="181"/>
      <c r="AR907" s="181"/>
      <c r="AS907" s="181"/>
      <c r="AT907" s="181"/>
      <c r="AU907" s="181"/>
      <c r="AV907" s="181"/>
      <c r="AW907" s="181"/>
    </row>
    <row r="908" spans="1:49" ht="13.5" customHeight="1" x14ac:dyDescent="0.3">
      <c r="A908" s="1"/>
      <c r="B908" s="181"/>
      <c r="C908" s="181"/>
      <c r="D908" s="181"/>
      <c r="E908" s="182"/>
      <c r="F908" s="182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  <c r="AC908" s="181"/>
      <c r="AD908" s="181"/>
      <c r="AE908" s="181"/>
      <c r="AF908" s="181"/>
      <c r="AG908" s="181"/>
      <c r="AH908" s="181"/>
      <c r="AI908" s="181"/>
      <c r="AJ908" s="181"/>
      <c r="AK908" s="181"/>
      <c r="AL908" s="181"/>
      <c r="AM908" s="181"/>
      <c r="AN908" s="181"/>
      <c r="AO908" s="181"/>
      <c r="AP908" s="181"/>
      <c r="AQ908" s="181"/>
      <c r="AR908" s="181"/>
      <c r="AS908" s="181"/>
      <c r="AT908" s="181"/>
      <c r="AU908" s="181"/>
      <c r="AV908" s="181"/>
      <c r="AW908" s="181"/>
    </row>
    <row r="909" spans="1:49" ht="13.5" customHeight="1" x14ac:dyDescent="0.3">
      <c r="A909" s="1"/>
      <c r="B909" s="181"/>
      <c r="C909" s="181"/>
      <c r="D909" s="181"/>
      <c r="E909" s="182"/>
      <c r="F909" s="182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  <c r="AC909" s="181"/>
      <c r="AD909" s="181"/>
      <c r="AE909" s="181"/>
      <c r="AF909" s="181"/>
      <c r="AG909" s="181"/>
      <c r="AH909" s="181"/>
      <c r="AI909" s="181"/>
      <c r="AJ909" s="181"/>
      <c r="AK909" s="181"/>
      <c r="AL909" s="181"/>
      <c r="AM909" s="181"/>
      <c r="AN909" s="181"/>
      <c r="AO909" s="181"/>
      <c r="AP909" s="181"/>
      <c r="AQ909" s="181"/>
      <c r="AR909" s="181"/>
      <c r="AS909" s="181"/>
      <c r="AT909" s="181"/>
      <c r="AU909" s="181"/>
      <c r="AV909" s="181"/>
      <c r="AW909" s="181"/>
    </row>
    <row r="910" spans="1:49" ht="13.5" customHeight="1" x14ac:dyDescent="0.3">
      <c r="A910" s="1"/>
      <c r="B910" s="181"/>
      <c r="C910" s="181"/>
      <c r="D910" s="181"/>
      <c r="E910" s="182"/>
      <c r="F910" s="182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  <c r="AC910" s="181"/>
      <c r="AD910" s="181"/>
      <c r="AE910" s="181"/>
      <c r="AF910" s="181"/>
      <c r="AG910" s="181"/>
      <c r="AH910" s="181"/>
      <c r="AI910" s="181"/>
      <c r="AJ910" s="181"/>
      <c r="AK910" s="181"/>
      <c r="AL910" s="181"/>
      <c r="AM910" s="181"/>
      <c r="AN910" s="181"/>
      <c r="AO910" s="181"/>
      <c r="AP910" s="181"/>
      <c r="AQ910" s="181"/>
      <c r="AR910" s="181"/>
      <c r="AS910" s="181"/>
      <c r="AT910" s="181"/>
      <c r="AU910" s="181"/>
      <c r="AV910" s="181"/>
      <c r="AW910" s="181"/>
    </row>
    <row r="911" spans="1:49" ht="13.5" customHeight="1" x14ac:dyDescent="0.3">
      <c r="A911" s="1"/>
      <c r="B911" s="181"/>
      <c r="C911" s="181"/>
      <c r="D911" s="181"/>
      <c r="E911" s="182"/>
      <c r="F911" s="182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  <c r="AC911" s="181"/>
      <c r="AD911" s="181"/>
      <c r="AE911" s="181"/>
      <c r="AF911" s="181"/>
      <c r="AG911" s="181"/>
      <c r="AH911" s="181"/>
      <c r="AI911" s="181"/>
      <c r="AJ911" s="181"/>
      <c r="AK911" s="181"/>
      <c r="AL911" s="181"/>
      <c r="AM911" s="181"/>
      <c r="AN911" s="181"/>
      <c r="AO911" s="181"/>
      <c r="AP911" s="181"/>
      <c r="AQ911" s="181"/>
      <c r="AR911" s="181"/>
      <c r="AS911" s="181"/>
      <c r="AT911" s="181"/>
      <c r="AU911" s="181"/>
      <c r="AV911" s="181"/>
      <c r="AW911" s="181"/>
    </row>
    <row r="912" spans="1:49" ht="13.5" customHeight="1" x14ac:dyDescent="0.3">
      <c r="A912" s="1"/>
      <c r="B912" s="181"/>
      <c r="C912" s="181"/>
      <c r="D912" s="181"/>
      <c r="E912" s="182"/>
      <c r="F912" s="182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  <c r="AC912" s="181"/>
      <c r="AD912" s="181"/>
      <c r="AE912" s="181"/>
      <c r="AF912" s="181"/>
      <c r="AG912" s="181"/>
      <c r="AH912" s="181"/>
      <c r="AI912" s="181"/>
      <c r="AJ912" s="181"/>
      <c r="AK912" s="181"/>
      <c r="AL912" s="181"/>
      <c r="AM912" s="181"/>
      <c r="AN912" s="181"/>
      <c r="AO912" s="181"/>
      <c r="AP912" s="181"/>
      <c r="AQ912" s="181"/>
      <c r="AR912" s="181"/>
      <c r="AS912" s="181"/>
      <c r="AT912" s="181"/>
      <c r="AU912" s="181"/>
      <c r="AV912" s="181"/>
      <c r="AW912" s="181"/>
    </row>
    <row r="913" spans="1:49" ht="13.5" customHeight="1" x14ac:dyDescent="0.3">
      <c r="A913" s="1"/>
      <c r="B913" s="181"/>
      <c r="C913" s="181"/>
      <c r="D913" s="181"/>
      <c r="E913" s="182"/>
      <c r="F913" s="182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  <c r="AC913" s="181"/>
      <c r="AD913" s="181"/>
      <c r="AE913" s="181"/>
      <c r="AF913" s="181"/>
      <c r="AG913" s="181"/>
      <c r="AH913" s="181"/>
      <c r="AI913" s="181"/>
      <c r="AJ913" s="181"/>
      <c r="AK913" s="181"/>
      <c r="AL913" s="181"/>
      <c r="AM913" s="181"/>
      <c r="AN913" s="181"/>
      <c r="AO913" s="181"/>
      <c r="AP913" s="181"/>
      <c r="AQ913" s="181"/>
      <c r="AR913" s="181"/>
      <c r="AS913" s="181"/>
      <c r="AT913" s="181"/>
      <c r="AU913" s="181"/>
      <c r="AV913" s="181"/>
      <c r="AW913" s="181"/>
    </row>
    <row r="914" spans="1:49" ht="13.5" customHeight="1" x14ac:dyDescent="0.3">
      <c r="A914" s="1"/>
      <c r="B914" s="181"/>
      <c r="C914" s="181"/>
      <c r="D914" s="181"/>
      <c r="E914" s="182"/>
      <c r="F914" s="182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  <c r="AC914" s="181"/>
      <c r="AD914" s="181"/>
      <c r="AE914" s="181"/>
      <c r="AF914" s="181"/>
      <c r="AG914" s="181"/>
      <c r="AH914" s="181"/>
      <c r="AI914" s="181"/>
      <c r="AJ914" s="181"/>
      <c r="AK914" s="181"/>
      <c r="AL914" s="181"/>
      <c r="AM914" s="181"/>
      <c r="AN914" s="181"/>
      <c r="AO914" s="181"/>
      <c r="AP914" s="181"/>
      <c r="AQ914" s="181"/>
      <c r="AR914" s="181"/>
      <c r="AS914" s="181"/>
      <c r="AT914" s="181"/>
      <c r="AU914" s="181"/>
      <c r="AV914" s="181"/>
      <c r="AW914" s="181"/>
    </row>
    <row r="915" spans="1:49" ht="13.5" customHeight="1" x14ac:dyDescent="0.3">
      <c r="A915" s="1"/>
      <c r="B915" s="181"/>
      <c r="C915" s="181"/>
      <c r="D915" s="181"/>
      <c r="E915" s="182"/>
      <c r="F915" s="182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  <c r="AA915" s="181"/>
      <c r="AB915" s="181"/>
      <c r="AC915" s="181"/>
      <c r="AD915" s="181"/>
      <c r="AE915" s="181"/>
      <c r="AF915" s="181"/>
      <c r="AG915" s="181"/>
      <c r="AH915" s="181"/>
      <c r="AI915" s="181"/>
      <c r="AJ915" s="181"/>
      <c r="AK915" s="181"/>
      <c r="AL915" s="181"/>
      <c r="AM915" s="181"/>
      <c r="AN915" s="181"/>
      <c r="AO915" s="181"/>
      <c r="AP915" s="181"/>
      <c r="AQ915" s="181"/>
      <c r="AR915" s="181"/>
      <c r="AS915" s="181"/>
      <c r="AT915" s="181"/>
      <c r="AU915" s="181"/>
      <c r="AV915" s="181"/>
      <c r="AW915" s="181"/>
    </row>
    <row r="916" spans="1:49" ht="13.5" customHeight="1" x14ac:dyDescent="0.3">
      <c r="A916" s="1"/>
      <c r="B916" s="181"/>
      <c r="C916" s="181"/>
      <c r="D916" s="181"/>
      <c r="E916" s="182"/>
      <c r="F916" s="182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  <c r="AA916" s="181"/>
      <c r="AB916" s="181"/>
      <c r="AC916" s="181"/>
      <c r="AD916" s="181"/>
      <c r="AE916" s="181"/>
      <c r="AF916" s="181"/>
      <c r="AG916" s="181"/>
      <c r="AH916" s="181"/>
      <c r="AI916" s="181"/>
      <c r="AJ916" s="181"/>
      <c r="AK916" s="181"/>
      <c r="AL916" s="181"/>
      <c r="AM916" s="181"/>
      <c r="AN916" s="181"/>
      <c r="AO916" s="181"/>
      <c r="AP916" s="181"/>
      <c r="AQ916" s="181"/>
      <c r="AR916" s="181"/>
      <c r="AS916" s="181"/>
      <c r="AT916" s="181"/>
      <c r="AU916" s="181"/>
      <c r="AV916" s="181"/>
      <c r="AW916" s="181"/>
    </row>
    <row r="917" spans="1:49" ht="13.5" customHeight="1" x14ac:dyDescent="0.3">
      <c r="A917" s="1"/>
      <c r="B917" s="181"/>
      <c r="C917" s="181"/>
      <c r="D917" s="181"/>
      <c r="E917" s="182"/>
      <c r="F917" s="182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  <c r="AA917" s="181"/>
      <c r="AB917" s="181"/>
      <c r="AC917" s="181"/>
      <c r="AD917" s="181"/>
      <c r="AE917" s="181"/>
      <c r="AF917" s="181"/>
      <c r="AG917" s="181"/>
      <c r="AH917" s="181"/>
      <c r="AI917" s="181"/>
      <c r="AJ917" s="181"/>
      <c r="AK917" s="181"/>
      <c r="AL917" s="181"/>
      <c r="AM917" s="181"/>
      <c r="AN917" s="181"/>
      <c r="AO917" s="181"/>
      <c r="AP917" s="181"/>
      <c r="AQ917" s="181"/>
      <c r="AR917" s="181"/>
      <c r="AS917" s="181"/>
      <c r="AT917" s="181"/>
      <c r="AU917" s="181"/>
      <c r="AV917" s="181"/>
      <c r="AW917" s="181"/>
    </row>
    <row r="918" spans="1:49" ht="13.5" customHeight="1" x14ac:dyDescent="0.3">
      <c r="A918" s="1"/>
      <c r="B918" s="181"/>
      <c r="C918" s="181"/>
      <c r="D918" s="181"/>
      <c r="E918" s="182"/>
      <c r="F918" s="182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  <c r="AA918" s="181"/>
      <c r="AB918" s="181"/>
      <c r="AC918" s="181"/>
      <c r="AD918" s="181"/>
      <c r="AE918" s="181"/>
      <c r="AF918" s="181"/>
      <c r="AG918" s="181"/>
      <c r="AH918" s="181"/>
      <c r="AI918" s="181"/>
      <c r="AJ918" s="181"/>
      <c r="AK918" s="181"/>
      <c r="AL918" s="181"/>
      <c r="AM918" s="181"/>
      <c r="AN918" s="181"/>
      <c r="AO918" s="181"/>
      <c r="AP918" s="181"/>
      <c r="AQ918" s="181"/>
      <c r="AR918" s="181"/>
      <c r="AS918" s="181"/>
      <c r="AT918" s="181"/>
      <c r="AU918" s="181"/>
      <c r="AV918" s="181"/>
      <c r="AW918" s="181"/>
    </row>
    <row r="919" spans="1:49" ht="13.5" customHeight="1" x14ac:dyDescent="0.3">
      <c r="A919" s="1"/>
      <c r="B919" s="181"/>
      <c r="C919" s="181"/>
      <c r="D919" s="181"/>
      <c r="E919" s="182"/>
      <c r="F919" s="182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  <c r="AA919" s="181"/>
      <c r="AB919" s="181"/>
      <c r="AC919" s="181"/>
      <c r="AD919" s="181"/>
      <c r="AE919" s="181"/>
      <c r="AF919" s="181"/>
      <c r="AG919" s="181"/>
      <c r="AH919" s="181"/>
      <c r="AI919" s="181"/>
      <c r="AJ919" s="181"/>
      <c r="AK919" s="181"/>
      <c r="AL919" s="181"/>
      <c r="AM919" s="181"/>
      <c r="AN919" s="181"/>
      <c r="AO919" s="181"/>
      <c r="AP919" s="181"/>
      <c r="AQ919" s="181"/>
      <c r="AR919" s="181"/>
      <c r="AS919" s="181"/>
      <c r="AT919" s="181"/>
      <c r="AU919" s="181"/>
      <c r="AV919" s="181"/>
      <c r="AW919" s="181"/>
    </row>
    <row r="920" spans="1:49" ht="13.5" customHeight="1" x14ac:dyDescent="0.3">
      <c r="A920" s="1"/>
      <c r="B920" s="181"/>
      <c r="C920" s="181"/>
      <c r="D920" s="181"/>
      <c r="E920" s="182"/>
      <c r="F920" s="182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  <c r="AA920" s="181"/>
      <c r="AB920" s="181"/>
      <c r="AC920" s="181"/>
      <c r="AD920" s="181"/>
      <c r="AE920" s="181"/>
      <c r="AF920" s="181"/>
      <c r="AG920" s="181"/>
      <c r="AH920" s="181"/>
      <c r="AI920" s="181"/>
      <c r="AJ920" s="181"/>
      <c r="AK920" s="181"/>
      <c r="AL920" s="181"/>
      <c r="AM920" s="181"/>
      <c r="AN920" s="181"/>
      <c r="AO920" s="181"/>
      <c r="AP920" s="181"/>
      <c r="AQ920" s="181"/>
      <c r="AR920" s="181"/>
      <c r="AS920" s="181"/>
      <c r="AT920" s="181"/>
      <c r="AU920" s="181"/>
      <c r="AV920" s="181"/>
      <c r="AW920" s="181"/>
    </row>
    <row r="921" spans="1:49" ht="13.5" customHeight="1" x14ac:dyDescent="0.3">
      <c r="A921" s="1"/>
      <c r="B921" s="181"/>
      <c r="C921" s="181"/>
      <c r="D921" s="181"/>
      <c r="E921" s="182"/>
      <c r="F921" s="182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  <c r="AA921" s="181"/>
      <c r="AB921" s="181"/>
      <c r="AC921" s="181"/>
      <c r="AD921" s="181"/>
      <c r="AE921" s="181"/>
      <c r="AF921" s="181"/>
      <c r="AG921" s="181"/>
      <c r="AH921" s="181"/>
      <c r="AI921" s="181"/>
      <c r="AJ921" s="181"/>
      <c r="AK921" s="181"/>
      <c r="AL921" s="181"/>
      <c r="AM921" s="181"/>
      <c r="AN921" s="181"/>
      <c r="AO921" s="181"/>
      <c r="AP921" s="181"/>
      <c r="AQ921" s="181"/>
      <c r="AR921" s="181"/>
      <c r="AS921" s="181"/>
      <c r="AT921" s="181"/>
      <c r="AU921" s="181"/>
      <c r="AV921" s="181"/>
      <c r="AW921" s="181"/>
    </row>
    <row r="922" spans="1:49" ht="13.5" customHeight="1" x14ac:dyDescent="0.3">
      <c r="A922" s="1"/>
      <c r="B922" s="181"/>
      <c r="C922" s="181"/>
      <c r="D922" s="181"/>
      <c r="E922" s="182"/>
      <c r="F922" s="182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  <c r="AA922" s="181"/>
      <c r="AB922" s="181"/>
      <c r="AC922" s="181"/>
      <c r="AD922" s="181"/>
      <c r="AE922" s="181"/>
      <c r="AF922" s="181"/>
      <c r="AG922" s="181"/>
      <c r="AH922" s="181"/>
      <c r="AI922" s="181"/>
      <c r="AJ922" s="181"/>
      <c r="AK922" s="181"/>
      <c r="AL922" s="181"/>
      <c r="AM922" s="181"/>
      <c r="AN922" s="181"/>
      <c r="AO922" s="181"/>
      <c r="AP922" s="181"/>
      <c r="AQ922" s="181"/>
      <c r="AR922" s="181"/>
      <c r="AS922" s="181"/>
      <c r="AT922" s="181"/>
      <c r="AU922" s="181"/>
      <c r="AV922" s="181"/>
      <c r="AW922" s="181"/>
    </row>
    <row r="923" spans="1:49" ht="13.5" customHeight="1" x14ac:dyDescent="0.3">
      <c r="A923" s="1"/>
      <c r="B923" s="181"/>
      <c r="C923" s="181"/>
      <c r="D923" s="181"/>
      <c r="E923" s="182"/>
      <c r="F923" s="182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  <c r="AA923" s="181"/>
      <c r="AB923" s="181"/>
      <c r="AC923" s="181"/>
      <c r="AD923" s="181"/>
      <c r="AE923" s="181"/>
      <c r="AF923" s="181"/>
      <c r="AG923" s="181"/>
      <c r="AH923" s="181"/>
      <c r="AI923" s="181"/>
      <c r="AJ923" s="181"/>
      <c r="AK923" s="181"/>
      <c r="AL923" s="181"/>
      <c r="AM923" s="181"/>
      <c r="AN923" s="181"/>
      <c r="AO923" s="181"/>
      <c r="AP923" s="181"/>
      <c r="AQ923" s="181"/>
      <c r="AR923" s="181"/>
      <c r="AS923" s="181"/>
      <c r="AT923" s="181"/>
      <c r="AU923" s="181"/>
      <c r="AV923" s="181"/>
      <c r="AW923" s="181"/>
    </row>
    <row r="924" spans="1:49" ht="13.5" customHeight="1" x14ac:dyDescent="0.3">
      <c r="A924" s="1"/>
      <c r="B924" s="181"/>
      <c r="C924" s="181"/>
      <c r="D924" s="181"/>
      <c r="E924" s="182"/>
      <c r="F924" s="182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  <c r="AA924" s="181"/>
      <c r="AB924" s="181"/>
      <c r="AC924" s="181"/>
      <c r="AD924" s="181"/>
      <c r="AE924" s="181"/>
      <c r="AF924" s="181"/>
      <c r="AG924" s="181"/>
      <c r="AH924" s="181"/>
      <c r="AI924" s="181"/>
      <c r="AJ924" s="181"/>
      <c r="AK924" s="181"/>
      <c r="AL924" s="181"/>
      <c r="AM924" s="181"/>
      <c r="AN924" s="181"/>
      <c r="AO924" s="181"/>
      <c r="AP924" s="181"/>
      <c r="AQ924" s="181"/>
      <c r="AR924" s="181"/>
      <c r="AS924" s="181"/>
      <c r="AT924" s="181"/>
      <c r="AU924" s="181"/>
      <c r="AV924" s="181"/>
      <c r="AW924" s="181"/>
    </row>
    <row r="925" spans="1:49" ht="13.5" customHeight="1" x14ac:dyDescent="0.3">
      <c r="A925" s="1"/>
      <c r="B925" s="181"/>
      <c r="C925" s="181"/>
      <c r="D925" s="181"/>
      <c r="E925" s="182"/>
      <c r="F925" s="182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  <c r="AA925" s="181"/>
      <c r="AB925" s="181"/>
      <c r="AC925" s="181"/>
      <c r="AD925" s="181"/>
      <c r="AE925" s="181"/>
      <c r="AF925" s="181"/>
      <c r="AG925" s="181"/>
      <c r="AH925" s="181"/>
      <c r="AI925" s="181"/>
      <c r="AJ925" s="181"/>
      <c r="AK925" s="181"/>
      <c r="AL925" s="181"/>
      <c r="AM925" s="181"/>
      <c r="AN925" s="181"/>
      <c r="AO925" s="181"/>
      <c r="AP925" s="181"/>
      <c r="AQ925" s="181"/>
      <c r="AR925" s="181"/>
      <c r="AS925" s="181"/>
      <c r="AT925" s="181"/>
      <c r="AU925" s="181"/>
      <c r="AV925" s="181"/>
      <c r="AW925" s="181"/>
    </row>
    <row r="926" spans="1:49" ht="13.5" customHeight="1" x14ac:dyDescent="0.3">
      <c r="A926" s="1"/>
      <c r="B926" s="181"/>
      <c r="C926" s="181"/>
      <c r="D926" s="181"/>
      <c r="E926" s="182"/>
      <c r="F926" s="182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  <c r="AA926" s="181"/>
      <c r="AB926" s="181"/>
      <c r="AC926" s="181"/>
      <c r="AD926" s="181"/>
      <c r="AE926" s="181"/>
      <c r="AF926" s="181"/>
      <c r="AG926" s="181"/>
      <c r="AH926" s="181"/>
      <c r="AI926" s="181"/>
      <c r="AJ926" s="181"/>
      <c r="AK926" s="181"/>
      <c r="AL926" s="181"/>
      <c r="AM926" s="181"/>
      <c r="AN926" s="181"/>
      <c r="AO926" s="181"/>
      <c r="AP926" s="181"/>
      <c r="AQ926" s="181"/>
      <c r="AR926" s="181"/>
      <c r="AS926" s="181"/>
      <c r="AT926" s="181"/>
      <c r="AU926" s="181"/>
      <c r="AV926" s="181"/>
      <c r="AW926" s="181"/>
    </row>
    <row r="927" spans="1:49" ht="13.5" customHeight="1" x14ac:dyDescent="0.3">
      <c r="A927" s="1"/>
      <c r="B927" s="181"/>
      <c r="C927" s="181"/>
      <c r="D927" s="181"/>
      <c r="E927" s="182"/>
      <c r="F927" s="182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  <c r="AA927" s="181"/>
      <c r="AB927" s="181"/>
      <c r="AC927" s="181"/>
      <c r="AD927" s="181"/>
      <c r="AE927" s="181"/>
      <c r="AF927" s="181"/>
      <c r="AG927" s="181"/>
      <c r="AH927" s="181"/>
      <c r="AI927" s="181"/>
      <c r="AJ927" s="181"/>
      <c r="AK927" s="181"/>
      <c r="AL927" s="181"/>
      <c r="AM927" s="181"/>
      <c r="AN927" s="181"/>
      <c r="AO927" s="181"/>
      <c r="AP927" s="181"/>
      <c r="AQ927" s="181"/>
      <c r="AR927" s="181"/>
      <c r="AS927" s="181"/>
      <c r="AT927" s="181"/>
      <c r="AU927" s="181"/>
      <c r="AV927" s="181"/>
      <c r="AW927" s="181"/>
    </row>
    <row r="928" spans="1:49" ht="13.5" customHeight="1" x14ac:dyDescent="0.3">
      <c r="A928" s="1"/>
      <c r="B928" s="181"/>
      <c r="C928" s="181"/>
      <c r="D928" s="181"/>
      <c r="E928" s="182"/>
      <c r="F928" s="182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  <c r="AA928" s="181"/>
      <c r="AB928" s="181"/>
      <c r="AC928" s="181"/>
      <c r="AD928" s="181"/>
      <c r="AE928" s="181"/>
      <c r="AF928" s="181"/>
      <c r="AG928" s="181"/>
      <c r="AH928" s="181"/>
      <c r="AI928" s="181"/>
      <c r="AJ928" s="181"/>
      <c r="AK928" s="181"/>
      <c r="AL928" s="181"/>
      <c r="AM928" s="181"/>
      <c r="AN928" s="181"/>
      <c r="AO928" s="181"/>
      <c r="AP928" s="181"/>
      <c r="AQ928" s="181"/>
      <c r="AR928" s="181"/>
      <c r="AS928" s="181"/>
      <c r="AT928" s="181"/>
      <c r="AU928" s="181"/>
      <c r="AV928" s="181"/>
      <c r="AW928" s="181"/>
    </row>
    <row r="929" spans="1:49" ht="13.5" customHeight="1" x14ac:dyDescent="0.3">
      <c r="A929" s="1"/>
      <c r="B929" s="181"/>
      <c r="C929" s="181"/>
      <c r="D929" s="181"/>
      <c r="E929" s="182"/>
      <c r="F929" s="182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  <c r="AA929" s="181"/>
      <c r="AB929" s="181"/>
      <c r="AC929" s="181"/>
      <c r="AD929" s="181"/>
      <c r="AE929" s="181"/>
      <c r="AF929" s="181"/>
      <c r="AG929" s="181"/>
      <c r="AH929" s="181"/>
      <c r="AI929" s="181"/>
      <c r="AJ929" s="181"/>
      <c r="AK929" s="181"/>
      <c r="AL929" s="181"/>
      <c r="AM929" s="181"/>
      <c r="AN929" s="181"/>
      <c r="AO929" s="181"/>
      <c r="AP929" s="181"/>
      <c r="AQ929" s="181"/>
      <c r="AR929" s="181"/>
      <c r="AS929" s="181"/>
      <c r="AT929" s="181"/>
      <c r="AU929" s="181"/>
      <c r="AV929" s="181"/>
      <c r="AW929" s="181"/>
    </row>
    <row r="930" spans="1:49" ht="13.5" customHeight="1" x14ac:dyDescent="0.3">
      <c r="A930" s="1"/>
      <c r="B930" s="181"/>
      <c r="C930" s="181"/>
      <c r="D930" s="181"/>
      <c r="E930" s="182"/>
      <c r="F930" s="182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  <c r="AA930" s="181"/>
      <c r="AB930" s="181"/>
      <c r="AC930" s="181"/>
      <c r="AD930" s="181"/>
      <c r="AE930" s="181"/>
      <c r="AF930" s="181"/>
      <c r="AG930" s="181"/>
      <c r="AH930" s="181"/>
      <c r="AI930" s="181"/>
      <c r="AJ930" s="181"/>
      <c r="AK930" s="181"/>
      <c r="AL930" s="181"/>
      <c r="AM930" s="181"/>
      <c r="AN930" s="181"/>
      <c r="AO930" s="181"/>
      <c r="AP930" s="181"/>
      <c r="AQ930" s="181"/>
      <c r="AR930" s="181"/>
      <c r="AS930" s="181"/>
      <c r="AT930" s="181"/>
      <c r="AU930" s="181"/>
      <c r="AV930" s="181"/>
      <c r="AW930" s="181"/>
    </row>
    <row r="931" spans="1:49" ht="13.5" customHeight="1" x14ac:dyDescent="0.3">
      <c r="A931" s="1"/>
      <c r="B931" s="181"/>
      <c r="C931" s="181"/>
      <c r="D931" s="181"/>
      <c r="E931" s="182"/>
      <c r="F931" s="182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  <c r="AA931" s="181"/>
      <c r="AB931" s="181"/>
      <c r="AC931" s="181"/>
      <c r="AD931" s="181"/>
      <c r="AE931" s="181"/>
      <c r="AF931" s="181"/>
      <c r="AG931" s="181"/>
      <c r="AH931" s="181"/>
      <c r="AI931" s="181"/>
      <c r="AJ931" s="181"/>
      <c r="AK931" s="181"/>
      <c r="AL931" s="181"/>
      <c r="AM931" s="181"/>
      <c r="AN931" s="181"/>
      <c r="AO931" s="181"/>
      <c r="AP931" s="181"/>
      <c r="AQ931" s="181"/>
      <c r="AR931" s="181"/>
      <c r="AS931" s="181"/>
      <c r="AT931" s="181"/>
      <c r="AU931" s="181"/>
      <c r="AV931" s="181"/>
      <c r="AW931" s="181"/>
    </row>
    <row r="932" spans="1:49" ht="13.5" customHeight="1" x14ac:dyDescent="0.3">
      <c r="A932" s="1"/>
      <c r="B932" s="181"/>
      <c r="C932" s="181"/>
      <c r="D932" s="181"/>
      <c r="E932" s="182"/>
      <c r="F932" s="182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  <c r="AA932" s="181"/>
      <c r="AB932" s="181"/>
      <c r="AC932" s="181"/>
      <c r="AD932" s="181"/>
      <c r="AE932" s="181"/>
      <c r="AF932" s="181"/>
      <c r="AG932" s="181"/>
      <c r="AH932" s="181"/>
      <c r="AI932" s="181"/>
      <c r="AJ932" s="181"/>
      <c r="AK932" s="181"/>
      <c r="AL932" s="181"/>
      <c r="AM932" s="181"/>
      <c r="AN932" s="181"/>
      <c r="AO932" s="181"/>
      <c r="AP932" s="181"/>
      <c r="AQ932" s="181"/>
      <c r="AR932" s="181"/>
      <c r="AS932" s="181"/>
      <c r="AT932" s="181"/>
      <c r="AU932" s="181"/>
      <c r="AV932" s="181"/>
      <c r="AW932" s="181"/>
    </row>
    <row r="933" spans="1:49" ht="13.5" customHeight="1" x14ac:dyDescent="0.3">
      <c r="A933" s="1"/>
      <c r="B933" s="181"/>
      <c r="C933" s="181"/>
      <c r="D933" s="181"/>
      <c r="E933" s="182"/>
      <c r="F933" s="182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  <c r="AA933" s="181"/>
      <c r="AB933" s="181"/>
      <c r="AC933" s="181"/>
      <c r="AD933" s="181"/>
      <c r="AE933" s="181"/>
      <c r="AF933" s="181"/>
      <c r="AG933" s="181"/>
      <c r="AH933" s="181"/>
      <c r="AI933" s="181"/>
      <c r="AJ933" s="181"/>
      <c r="AK933" s="181"/>
      <c r="AL933" s="181"/>
      <c r="AM933" s="181"/>
      <c r="AN933" s="181"/>
      <c r="AO933" s="181"/>
      <c r="AP933" s="181"/>
      <c r="AQ933" s="181"/>
      <c r="AR933" s="181"/>
      <c r="AS933" s="181"/>
      <c r="AT933" s="181"/>
      <c r="AU933" s="181"/>
      <c r="AV933" s="181"/>
      <c r="AW933" s="181"/>
    </row>
    <row r="934" spans="1:49" ht="13.5" customHeight="1" x14ac:dyDescent="0.3">
      <c r="A934" s="1"/>
      <c r="B934" s="181"/>
      <c r="C934" s="181"/>
      <c r="D934" s="181"/>
      <c r="E934" s="182"/>
      <c r="F934" s="182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  <c r="AA934" s="181"/>
      <c r="AB934" s="181"/>
      <c r="AC934" s="181"/>
      <c r="AD934" s="181"/>
      <c r="AE934" s="181"/>
      <c r="AF934" s="181"/>
      <c r="AG934" s="181"/>
      <c r="AH934" s="181"/>
      <c r="AI934" s="181"/>
      <c r="AJ934" s="181"/>
      <c r="AK934" s="181"/>
      <c r="AL934" s="181"/>
      <c r="AM934" s="181"/>
      <c r="AN934" s="181"/>
      <c r="AO934" s="181"/>
      <c r="AP934" s="181"/>
      <c r="AQ934" s="181"/>
      <c r="AR934" s="181"/>
      <c r="AS934" s="181"/>
      <c r="AT934" s="181"/>
      <c r="AU934" s="181"/>
      <c r="AV934" s="181"/>
      <c r="AW934" s="181"/>
    </row>
    <row r="935" spans="1:49" ht="13.5" customHeight="1" x14ac:dyDescent="0.3">
      <c r="A935" s="1"/>
      <c r="B935" s="181"/>
      <c r="C935" s="181"/>
      <c r="D935" s="181"/>
      <c r="E935" s="182"/>
      <c r="F935" s="182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  <c r="AA935" s="181"/>
      <c r="AB935" s="181"/>
      <c r="AC935" s="181"/>
      <c r="AD935" s="181"/>
      <c r="AE935" s="181"/>
      <c r="AF935" s="181"/>
      <c r="AG935" s="181"/>
      <c r="AH935" s="181"/>
      <c r="AI935" s="181"/>
      <c r="AJ935" s="181"/>
      <c r="AK935" s="181"/>
      <c r="AL935" s="181"/>
      <c r="AM935" s="181"/>
      <c r="AN935" s="181"/>
      <c r="AO935" s="181"/>
      <c r="AP935" s="181"/>
      <c r="AQ935" s="181"/>
      <c r="AR935" s="181"/>
      <c r="AS935" s="181"/>
      <c r="AT935" s="181"/>
      <c r="AU935" s="181"/>
      <c r="AV935" s="181"/>
      <c r="AW935" s="181"/>
    </row>
    <row r="936" spans="1:49" ht="13.5" customHeight="1" x14ac:dyDescent="0.3">
      <c r="A936" s="1"/>
      <c r="B936" s="181"/>
      <c r="C936" s="181"/>
      <c r="D936" s="181"/>
      <c r="E936" s="182"/>
      <c r="F936" s="182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  <c r="AA936" s="181"/>
      <c r="AB936" s="181"/>
      <c r="AC936" s="181"/>
      <c r="AD936" s="181"/>
      <c r="AE936" s="181"/>
      <c r="AF936" s="181"/>
      <c r="AG936" s="181"/>
      <c r="AH936" s="181"/>
      <c r="AI936" s="181"/>
      <c r="AJ936" s="181"/>
      <c r="AK936" s="181"/>
      <c r="AL936" s="181"/>
      <c r="AM936" s="181"/>
      <c r="AN936" s="181"/>
      <c r="AO936" s="181"/>
      <c r="AP936" s="181"/>
      <c r="AQ936" s="181"/>
      <c r="AR936" s="181"/>
      <c r="AS936" s="181"/>
      <c r="AT936" s="181"/>
      <c r="AU936" s="181"/>
      <c r="AV936" s="181"/>
      <c r="AW936" s="181"/>
    </row>
    <row r="937" spans="1:49" ht="13.5" customHeight="1" x14ac:dyDescent="0.3">
      <c r="A937" s="1"/>
      <c r="B937" s="181"/>
      <c r="C937" s="181"/>
      <c r="D937" s="181"/>
      <c r="E937" s="182"/>
      <c r="F937" s="182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  <c r="AA937" s="181"/>
      <c r="AB937" s="181"/>
      <c r="AC937" s="181"/>
      <c r="AD937" s="181"/>
      <c r="AE937" s="181"/>
      <c r="AF937" s="181"/>
      <c r="AG937" s="181"/>
      <c r="AH937" s="181"/>
      <c r="AI937" s="181"/>
      <c r="AJ937" s="181"/>
      <c r="AK937" s="181"/>
      <c r="AL937" s="181"/>
      <c r="AM937" s="181"/>
      <c r="AN937" s="181"/>
      <c r="AO937" s="181"/>
      <c r="AP937" s="181"/>
      <c r="AQ937" s="181"/>
      <c r="AR937" s="181"/>
      <c r="AS937" s="181"/>
      <c r="AT937" s="181"/>
      <c r="AU937" s="181"/>
      <c r="AV937" s="181"/>
      <c r="AW937" s="181"/>
    </row>
    <row r="938" spans="1:49" ht="13.5" customHeight="1" x14ac:dyDescent="0.3">
      <c r="A938" s="1"/>
      <c r="B938" s="181"/>
      <c r="C938" s="181"/>
      <c r="D938" s="181"/>
      <c r="E938" s="182"/>
      <c r="F938" s="182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  <c r="AA938" s="181"/>
      <c r="AB938" s="181"/>
      <c r="AC938" s="181"/>
      <c r="AD938" s="181"/>
      <c r="AE938" s="181"/>
      <c r="AF938" s="181"/>
      <c r="AG938" s="181"/>
      <c r="AH938" s="181"/>
      <c r="AI938" s="181"/>
      <c r="AJ938" s="181"/>
      <c r="AK938" s="181"/>
      <c r="AL938" s="181"/>
      <c r="AM938" s="181"/>
      <c r="AN938" s="181"/>
      <c r="AO938" s="181"/>
      <c r="AP938" s="181"/>
      <c r="AQ938" s="181"/>
      <c r="AR938" s="181"/>
      <c r="AS938" s="181"/>
      <c r="AT938" s="181"/>
      <c r="AU938" s="181"/>
      <c r="AV938" s="181"/>
      <c r="AW938" s="181"/>
    </row>
    <row r="939" spans="1:49" ht="13.5" customHeight="1" x14ac:dyDescent="0.3">
      <c r="A939" s="1"/>
      <c r="B939" s="181"/>
      <c r="C939" s="181"/>
      <c r="D939" s="181"/>
      <c r="E939" s="182"/>
      <c r="F939" s="182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  <c r="AA939" s="181"/>
      <c r="AB939" s="181"/>
      <c r="AC939" s="181"/>
      <c r="AD939" s="181"/>
      <c r="AE939" s="181"/>
      <c r="AF939" s="181"/>
      <c r="AG939" s="181"/>
      <c r="AH939" s="181"/>
      <c r="AI939" s="181"/>
      <c r="AJ939" s="181"/>
      <c r="AK939" s="181"/>
      <c r="AL939" s="181"/>
      <c r="AM939" s="181"/>
      <c r="AN939" s="181"/>
      <c r="AO939" s="181"/>
      <c r="AP939" s="181"/>
      <c r="AQ939" s="181"/>
      <c r="AR939" s="181"/>
      <c r="AS939" s="181"/>
      <c r="AT939" s="181"/>
      <c r="AU939" s="181"/>
      <c r="AV939" s="181"/>
      <c r="AW939" s="181"/>
    </row>
    <row r="940" spans="1:49" ht="13.5" customHeight="1" x14ac:dyDescent="0.3">
      <c r="A940" s="1"/>
      <c r="B940" s="181"/>
      <c r="C940" s="181"/>
      <c r="D940" s="181"/>
      <c r="E940" s="182"/>
      <c r="F940" s="182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  <c r="AA940" s="181"/>
      <c r="AB940" s="181"/>
      <c r="AC940" s="181"/>
      <c r="AD940" s="181"/>
      <c r="AE940" s="181"/>
      <c r="AF940" s="181"/>
      <c r="AG940" s="181"/>
      <c r="AH940" s="181"/>
      <c r="AI940" s="181"/>
      <c r="AJ940" s="181"/>
      <c r="AK940" s="181"/>
      <c r="AL940" s="181"/>
      <c r="AM940" s="181"/>
      <c r="AN940" s="181"/>
      <c r="AO940" s="181"/>
      <c r="AP940" s="181"/>
      <c r="AQ940" s="181"/>
      <c r="AR940" s="181"/>
      <c r="AS940" s="181"/>
      <c r="AT940" s="181"/>
      <c r="AU940" s="181"/>
      <c r="AV940" s="181"/>
      <c r="AW940" s="181"/>
    </row>
    <row r="941" spans="1:49" ht="13.5" customHeight="1" x14ac:dyDescent="0.3">
      <c r="A941" s="1"/>
      <c r="B941" s="181"/>
      <c r="C941" s="181"/>
      <c r="D941" s="181"/>
      <c r="E941" s="182"/>
      <c r="F941" s="182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  <c r="AA941" s="181"/>
      <c r="AB941" s="181"/>
      <c r="AC941" s="181"/>
      <c r="AD941" s="181"/>
      <c r="AE941" s="181"/>
      <c r="AF941" s="181"/>
      <c r="AG941" s="181"/>
      <c r="AH941" s="181"/>
      <c r="AI941" s="181"/>
      <c r="AJ941" s="181"/>
      <c r="AK941" s="181"/>
      <c r="AL941" s="181"/>
      <c r="AM941" s="181"/>
      <c r="AN941" s="181"/>
      <c r="AO941" s="181"/>
      <c r="AP941" s="181"/>
      <c r="AQ941" s="181"/>
      <c r="AR941" s="181"/>
      <c r="AS941" s="181"/>
      <c r="AT941" s="181"/>
      <c r="AU941" s="181"/>
      <c r="AV941" s="181"/>
      <c r="AW941" s="181"/>
    </row>
    <row r="942" spans="1:49" ht="13.5" customHeight="1" x14ac:dyDescent="0.3">
      <c r="A942" s="1"/>
      <c r="B942" s="181"/>
      <c r="C942" s="181"/>
      <c r="D942" s="181"/>
      <c r="E942" s="182"/>
      <c r="F942" s="182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  <c r="AA942" s="181"/>
      <c r="AB942" s="181"/>
      <c r="AC942" s="181"/>
      <c r="AD942" s="181"/>
      <c r="AE942" s="181"/>
      <c r="AF942" s="181"/>
      <c r="AG942" s="181"/>
      <c r="AH942" s="181"/>
      <c r="AI942" s="181"/>
      <c r="AJ942" s="181"/>
      <c r="AK942" s="181"/>
      <c r="AL942" s="181"/>
      <c r="AM942" s="181"/>
      <c r="AN942" s="181"/>
      <c r="AO942" s="181"/>
      <c r="AP942" s="181"/>
      <c r="AQ942" s="181"/>
      <c r="AR942" s="181"/>
      <c r="AS942" s="181"/>
      <c r="AT942" s="181"/>
      <c r="AU942" s="181"/>
      <c r="AV942" s="181"/>
      <c r="AW942" s="181"/>
    </row>
    <row r="943" spans="1:49" ht="13.5" customHeight="1" x14ac:dyDescent="0.3">
      <c r="A943" s="1"/>
      <c r="B943" s="181"/>
      <c r="C943" s="181"/>
      <c r="D943" s="181"/>
      <c r="E943" s="182"/>
      <c r="F943" s="182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  <c r="AA943" s="181"/>
      <c r="AB943" s="181"/>
      <c r="AC943" s="181"/>
      <c r="AD943" s="181"/>
      <c r="AE943" s="181"/>
      <c r="AF943" s="181"/>
      <c r="AG943" s="181"/>
      <c r="AH943" s="181"/>
      <c r="AI943" s="181"/>
      <c r="AJ943" s="181"/>
      <c r="AK943" s="181"/>
      <c r="AL943" s="181"/>
      <c r="AM943" s="181"/>
      <c r="AN943" s="181"/>
      <c r="AO943" s="181"/>
      <c r="AP943" s="181"/>
      <c r="AQ943" s="181"/>
      <c r="AR943" s="181"/>
      <c r="AS943" s="181"/>
      <c r="AT943" s="181"/>
      <c r="AU943" s="181"/>
      <c r="AV943" s="181"/>
      <c r="AW943" s="181"/>
    </row>
    <row r="944" spans="1:49" ht="13.5" customHeight="1" x14ac:dyDescent="0.3">
      <c r="A944" s="1"/>
      <c r="B944" s="181"/>
      <c r="C944" s="181"/>
      <c r="D944" s="181"/>
      <c r="E944" s="182"/>
      <c r="F944" s="182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  <c r="AA944" s="181"/>
      <c r="AB944" s="181"/>
      <c r="AC944" s="181"/>
      <c r="AD944" s="181"/>
      <c r="AE944" s="181"/>
      <c r="AF944" s="181"/>
      <c r="AG944" s="181"/>
      <c r="AH944" s="181"/>
      <c r="AI944" s="181"/>
      <c r="AJ944" s="181"/>
      <c r="AK944" s="181"/>
      <c r="AL944" s="181"/>
      <c r="AM944" s="181"/>
      <c r="AN944" s="181"/>
      <c r="AO944" s="181"/>
      <c r="AP944" s="181"/>
      <c r="AQ944" s="181"/>
      <c r="AR944" s="181"/>
      <c r="AS944" s="181"/>
      <c r="AT944" s="181"/>
      <c r="AU944" s="181"/>
      <c r="AV944" s="181"/>
      <c r="AW944" s="181"/>
    </row>
    <row r="945" spans="1:49" ht="13.5" customHeight="1" x14ac:dyDescent="0.3">
      <c r="A945" s="1"/>
      <c r="B945" s="181"/>
      <c r="C945" s="181"/>
      <c r="D945" s="181"/>
      <c r="E945" s="182"/>
      <c r="F945" s="182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  <c r="AA945" s="181"/>
      <c r="AB945" s="181"/>
      <c r="AC945" s="181"/>
      <c r="AD945" s="181"/>
      <c r="AE945" s="181"/>
      <c r="AF945" s="181"/>
      <c r="AG945" s="181"/>
      <c r="AH945" s="181"/>
      <c r="AI945" s="181"/>
      <c r="AJ945" s="181"/>
      <c r="AK945" s="181"/>
      <c r="AL945" s="181"/>
      <c r="AM945" s="181"/>
      <c r="AN945" s="181"/>
      <c r="AO945" s="181"/>
      <c r="AP945" s="181"/>
      <c r="AQ945" s="181"/>
      <c r="AR945" s="181"/>
      <c r="AS945" s="181"/>
      <c r="AT945" s="181"/>
      <c r="AU945" s="181"/>
      <c r="AV945" s="181"/>
      <c r="AW945" s="181"/>
    </row>
    <row r="946" spans="1:49" ht="13.5" customHeight="1" x14ac:dyDescent="0.3">
      <c r="A946" s="1"/>
      <c r="B946" s="181"/>
      <c r="C946" s="181"/>
      <c r="D946" s="181"/>
      <c r="E946" s="182"/>
      <c r="F946" s="182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  <c r="AA946" s="181"/>
      <c r="AB946" s="181"/>
      <c r="AC946" s="181"/>
      <c r="AD946" s="181"/>
      <c r="AE946" s="181"/>
      <c r="AF946" s="181"/>
      <c r="AG946" s="181"/>
      <c r="AH946" s="181"/>
      <c r="AI946" s="181"/>
      <c r="AJ946" s="181"/>
      <c r="AK946" s="181"/>
      <c r="AL946" s="181"/>
      <c r="AM946" s="181"/>
      <c r="AN946" s="181"/>
      <c r="AO946" s="181"/>
      <c r="AP946" s="181"/>
      <c r="AQ946" s="181"/>
      <c r="AR946" s="181"/>
      <c r="AS946" s="181"/>
      <c r="AT946" s="181"/>
      <c r="AU946" s="181"/>
      <c r="AV946" s="181"/>
      <c r="AW946" s="181"/>
    </row>
    <row r="947" spans="1:49" ht="13.5" customHeight="1" x14ac:dyDescent="0.3">
      <c r="A947" s="1"/>
      <c r="B947" s="181"/>
      <c r="C947" s="181"/>
      <c r="D947" s="181"/>
      <c r="E947" s="182"/>
      <c r="F947" s="182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  <c r="AA947" s="181"/>
      <c r="AB947" s="181"/>
      <c r="AC947" s="181"/>
      <c r="AD947" s="181"/>
      <c r="AE947" s="181"/>
      <c r="AF947" s="181"/>
      <c r="AG947" s="181"/>
      <c r="AH947" s="181"/>
      <c r="AI947" s="181"/>
      <c r="AJ947" s="181"/>
      <c r="AK947" s="181"/>
      <c r="AL947" s="181"/>
      <c r="AM947" s="181"/>
      <c r="AN947" s="181"/>
      <c r="AO947" s="181"/>
      <c r="AP947" s="181"/>
      <c r="AQ947" s="181"/>
      <c r="AR947" s="181"/>
      <c r="AS947" s="181"/>
      <c r="AT947" s="181"/>
      <c r="AU947" s="181"/>
      <c r="AV947" s="181"/>
      <c r="AW947" s="181"/>
    </row>
    <row r="948" spans="1:49" ht="13.5" customHeight="1" x14ac:dyDescent="0.3">
      <c r="A948" s="1"/>
      <c r="B948" s="181"/>
      <c r="C948" s="181"/>
      <c r="D948" s="181"/>
      <c r="E948" s="182"/>
      <c r="F948" s="182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  <c r="AA948" s="181"/>
      <c r="AB948" s="181"/>
      <c r="AC948" s="181"/>
      <c r="AD948" s="181"/>
      <c r="AE948" s="181"/>
      <c r="AF948" s="181"/>
      <c r="AG948" s="181"/>
      <c r="AH948" s="181"/>
      <c r="AI948" s="181"/>
      <c r="AJ948" s="181"/>
      <c r="AK948" s="181"/>
      <c r="AL948" s="181"/>
      <c r="AM948" s="181"/>
      <c r="AN948" s="181"/>
      <c r="AO948" s="181"/>
      <c r="AP948" s="181"/>
      <c r="AQ948" s="181"/>
      <c r="AR948" s="181"/>
      <c r="AS948" s="181"/>
      <c r="AT948" s="181"/>
      <c r="AU948" s="181"/>
      <c r="AV948" s="181"/>
      <c r="AW948" s="181"/>
    </row>
    <row r="949" spans="1:49" ht="13.5" customHeight="1" x14ac:dyDescent="0.3">
      <c r="A949" s="1"/>
      <c r="B949" s="181"/>
      <c r="C949" s="181"/>
      <c r="D949" s="181"/>
      <c r="E949" s="182"/>
      <c r="F949" s="182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  <c r="AA949" s="181"/>
      <c r="AB949" s="181"/>
      <c r="AC949" s="181"/>
      <c r="AD949" s="181"/>
      <c r="AE949" s="181"/>
      <c r="AF949" s="181"/>
      <c r="AG949" s="181"/>
      <c r="AH949" s="181"/>
      <c r="AI949" s="181"/>
      <c r="AJ949" s="181"/>
      <c r="AK949" s="181"/>
      <c r="AL949" s="181"/>
      <c r="AM949" s="181"/>
      <c r="AN949" s="181"/>
      <c r="AO949" s="181"/>
      <c r="AP949" s="181"/>
      <c r="AQ949" s="181"/>
      <c r="AR949" s="181"/>
      <c r="AS949" s="181"/>
      <c r="AT949" s="181"/>
      <c r="AU949" s="181"/>
      <c r="AV949" s="181"/>
      <c r="AW949" s="181"/>
    </row>
    <row r="950" spans="1:49" ht="13.5" customHeight="1" x14ac:dyDescent="0.3">
      <c r="A950" s="1"/>
      <c r="B950" s="181"/>
      <c r="C950" s="181"/>
      <c r="D950" s="181"/>
      <c r="E950" s="182"/>
      <c r="F950" s="182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  <c r="AA950" s="181"/>
      <c r="AB950" s="181"/>
      <c r="AC950" s="181"/>
      <c r="AD950" s="181"/>
      <c r="AE950" s="181"/>
      <c r="AF950" s="181"/>
      <c r="AG950" s="181"/>
      <c r="AH950" s="181"/>
      <c r="AI950" s="181"/>
      <c r="AJ950" s="181"/>
      <c r="AK950" s="181"/>
      <c r="AL950" s="181"/>
      <c r="AM950" s="181"/>
      <c r="AN950" s="181"/>
      <c r="AO950" s="181"/>
      <c r="AP950" s="181"/>
      <c r="AQ950" s="181"/>
      <c r="AR950" s="181"/>
      <c r="AS950" s="181"/>
      <c r="AT950" s="181"/>
      <c r="AU950" s="181"/>
      <c r="AV950" s="181"/>
      <c r="AW950" s="181"/>
    </row>
    <row r="951" spans="1:49" ht="13.5" customHeight="1" x14ac:dyDescent="0.3">
      <c r="A951" s="1"/>
      <c r="B951" s="181"/>
      <c r="C951" s="181"/>
      <c r="D951" s="181"/>
      <c r="E951" s="182"/>
      <c r="F951" s="182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  <c r="AA951" s="181"/>
      <c r="AB951" s="181"/>
      <c r="AC951" s="181"/>
      <c r="AD951" s="181"/>
      <c r="AE951" s="181"/>
      <c r="AF951" s="181"/>
      <c r="AG951" s="181"/>
      <c r="AH951" s="181"/>
      <c r="AI951" s="181"/>
      <c r="AJ951" s="181"/>
      <c r="AK951" s="181"/>
      <c r="AL951" s="181"/>
      <c r="AM951" s="181"/>
      <c r="AN951" s="181"/>
      <c r="AO951" s="181"/>
      <c r="AP951" s="181"/>
      <c r="AQ951" s="181"/>
      <c r="AR951" s="181"/>
      <c r="AS951" s="181"/>
      <c r="AT951" s="181"/>
      <c r="AU951" s="181"/>
      <c r="AV951" s="181"/>
      <c r="AW951" s="181"/>
    </row>
    <row r="952" spans="1:49" ht="13.5" customHeight="1" x14ac:dyDescent="0.3">
      <c r="A952" s="1"/>
      <c r="B952" s="181"/>
      <c r="C952" s="181"/>
      <c r="D952" s="181"/>
      <c r="E952" s="182"/>
      <c r="F952" s="182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  <c r="AA952" s="181"/>
      <c r="AB952" s="181"/>
      <c r="AC952" s="181"/>
      <c r="AD952" s="181"/>
      <c r="AE952" s="181"/>
      <c r="AF952" s="181"/>
      <c r="AG952" s="181"/>
      <c r="AH952" s="181"/>
      <c r="AI952" s="181"/>
      <c r="AJ952" s="181"/>
      <c r="AK952" s="181"/>
      <c r="AL952" s="181"/>
      <c r="AM952" s="181"/>
      <c r="AN952" s="181"/>
      <c r="AO952" s="181"/>
      <c r="AP952" s="181"/>
      <c r="AQ952" s="181"/>
      <c r="AR952" s="181"/>
      <c r="AS952" s="181"/>
      <c r="AT952" s="181"/>
      <c r="AU952" s="181"/>
      <c r="AV952" s="181"/>
      <c r="AW952" s="181"/>
    </row>
    <row r="953" spans="1:49" ht="13.5" customHeight="1" x14ac:dyDescent="0.3">
      <c r="A953" s="1"/>
      <c r="B953" s="181"/>
      <c r="C953" s="181"/>
      <c r="D953" s="181"/>
      <c r="E953" s="182"/>
      <c r="F953" s="182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  <c r="AA953" s="181"/>
      <c r="AB953" s="181"/>
      <c r="AC953" s="181"/>
      <c r="AD953" s="181"/>
      <c r="AE953" s="181"/>
      <c r="AF953" s="181"/>
      <c r="AG953" s="181"/>
      <c r="AH953" s="181"/>
      <c r="AI953" s="181"/>
      <c r="AJ953" s="181"/>
      <c r="AK953" s="181"/>
      <c r="AL953" s="181"/>
      <c r="AM953" s="181"/>
      <c r="AN953" s="181"/>
      <c r="AO953" s="181"/>
      <c r="AP953" s="181"/>
      <c r="AQ953" s="181"/>
      <c r="AR953" s="181"/>
      <c r="AS953" s="181"/>
      <c r="AT953" s="181"/>
      <c r="AU953" s="181"/>
      <c r="AV953" s="181"/>
      <c r="AW953" s="181"/>
    </row>
    <row r="954" spans="1:49" ht="13.5" customHeight="1" x14ac:dyDescent="0.3">
      <c r="A954" s="1"/>
      <c r="B954" s="181"/>
      <c r="C954" s="181"/>
      <c r="D954" s="181"/>
      <c r="E954" s="182"/>
      <c r="F954" s="182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  <c r="AA954" s="181"/>
      <c r="AB954" s="181"/>
      <c r="AC954" s="181"/>
      <c r="AD954" s="181"/>
      <c r="AE954" s="181"/>
      <c r="AF954" s="181"/>
      <c r="AG954" s="181"/>
      <c r="AH954" s="181"/>
      <c r="AI954" s="181"/>
      <c r="AJ954" s="181"/>
      <c r="AK954" s="181"/>
      <c r="AL954" s="181"/>
      <c r="AM954" s="181"/>
      <c r="AN954" s="181"/>
      <c r="AO954" s="181"/>
      <c r="AP954" s="181"/>
      <c r="AQ954" s="181"/>
      <c r="AR954" s="181"/>
      <c r="AS954" s="181"/>
      <c r="AT954" s="181"/>
      <c r="AU954" s="181"/>
      <c r="AV954" s="181"/>
      <c r="AW954" s="181"/>
    </row>
    <row r="955" spans="1:49" ht="13.5" customHeight="1" x14ac:dyDescent="0.3">
      <c r="A955" s="1"/>
      <c r="B955" s="181"/>
      <c r="C955" s="181"/>
      <c r="D955" s="181"/>
      <c r="E955" s="182"/>
      <c r="F955" s="182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  <c r="AA955" s="181"/>
      <c r="AB955" s="181"/>
      <c r="AC955" s="181"/>
      <c r="AD955" s="181"/>
      <c r="AE955" s="181"/>
      <c r="AF955" s="181"/>
      <c r="AG955" s="181"/>
      <c r="AH955" s="181"/>
      <c r="AI955" s="181"/>
      <c r="AJ955" s="181"/>
      <c r="AK955" s="181"/>
      <c r="AL955" s="181"/>
      <c r="AM955" s="181"/>
      <c r="AN955" s="181"/>
      <c r="AO955" s="181"/>
      <c r="AP955" s="181"/>
      <c r="AQ955" s="181"/>
      <c r="AR955" s="181"/>
      <c r="AS955" s="181"/>
      <c r="AT955" s="181"/>
      <c r="AU955" s="181"/>
      <c r="AV955" s="181"/>
      <c r="AW955" s="181"/>
    </row>
    <row r="956" spans="1:49" ht="13.5" customHeight="1" x14ac:dyDescent="0.3">
      <c r="A956" s="1"/>
      <c r="B956" s="181"/>
      <c r="C956" s="181"/>
      <c r="D956" s="181"/>
      <c r="E956" s="182"/>
      <c r="F956" s="182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  <c r="AA956" s="181"/>
      <c r="AB956" s="181"/>
      <c r="AC956" s="181"/>
      <c r="AD956" s="181"/>
      <c r="AE956" s="181"/>
      <c r="AF956" s="181"/>
      <c r="AG956" s="181"/>
      <c r="AH956" s="181"/>
      <c r="AI956" s="181"/>
      <c r="AJ956" s="181"/>
      <c r="AK956" s="181"/>
      <c r="AL956" s="181"/>
      <c r="AM956" s="181"/>
      <c r="AN956" s="181"/>
      <c r="AO956" s="181"/>
      <c r="AP956" s="181"/>
      <c r="AQ956" s="181"/>
      <c r="AR956" s="181"/>
      <c r="AS956" s="181"/>
      <c r="AT956" s="181"/>
      <c r="AU956" s="181"/>
      <c r="AV956" s="181"/>
      <c r="AW956" s="181"/>
    </row>
    <row r="957" spans="1:49" ht="13.5" customHeight="1" x14ac:dyDescent="0.3">
      <c r="A957" s="1"/>
      <c r="B957" s="181"/>
      <c r="C957" s="181"/>
      <c r="D957" s="181"/>
      <c r="E957" s="182"/>
      <c r="F957" s="182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  <c r="AA957" s="181"/>
      <c r="AB957" s="181"/>
      <c r="AC957" s="181"/>
      <c r="AD957" s="181"/>
      <c r="AE957" s="181"/>
      <c r="AF957" s="181"/>
      <c r="AG957" s="181"/>
      <c r="AH957" s="181"/>
      <c r="AI957" s="181"/>
      <c r="AJ957" s="181"/>
      <c r="AK957" s="181"/>
      <c r="AL957" s="181"/>
      <c r="AM957" s="181"/>
      <c r="AN957" s="181"/>
      <c r="AO957" s="181"/>
      <c r="AP957" s="181"/>
      <c r="AQ957" s="181"/>
      <c r="AR957" s="181"/>
      <c r="AS957" s="181"/>
      <c r="AT957" s="181"/>
      <c r="AU957" s="181"/>
      <c r="AV957" s="181"/>
      <c r="AW957" s="181"/>
    </row>
    <row r="958" spans="1:49" ht="13.5" customHeight="1" x14ac:dyDescent="0.3">
      <c r="A958" s="1"/>
      <c r="B958" s="181"/>
      <c r="C958" s="181"/>
      <c r="D958" s="181"/>
      <c r="E958" s="182"/>
      <c r="F958" s="182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  <c r="AA958" s="181"/>
      <c r="AB958" s="181"/>
      <c r="AC958" s="181"/>
      <c r="AD958" s="181"/>
      <c r="AE958" s="181"/>
      <c r="AF958" s="181"/>
      <c r="AG958" s="181"/>
      <c r="AH958" s="181"/>
      <c r="AI958" s="181"/>
      <c r="AJ958" s="181"/>
      <c r="AK958" s="181"/>
      <c r="AL958" s="181"/>
      <c r="AM958" s="181"/>
      <c r="AN958" s="181"/>
      <c r="AO958" s="181"/>
      <c r="AP958" s="181"/>
      <c r="AQ958" s="181"/>
      <c r="AR958" s="181"/>
      <c r="AS958" s="181"/>
      <c r="AT958" s="181"/>
      <c r="AU958" s="181"/>
      <c r="AV958" s="181"/>
      <c r="AW958" s="181"/>
    </row>
    <row r="959" spans="1:49" ht="13.5" customHeight="1" x14ac:dyDescent="0.3">
      <c r="A959" s="1"/>
      <c r="B959" s="181"/>
      <c r="C959" s="181"/>
      <c r="D959" s="181"/>
      <c r="E959" s="182"/>
      <c r="F959" s="182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  <c r="AA959" s="181"/>
      <c r="AB959" s="181"/>
      <c r="AC959" s="181"/>
      <c r="AD959" s="181"/>
      <c r="AE959" s="181"/>
      <c r="AF959" s="181"/>
      <c r="AG959" s="181"/>
      <c r="AH959" s="181"/>
      <c r="AI959" s="181"/>
      <c r="AJ959" s="181"/>
      <c r="AK959" s="181"/>
      <c r="AL959" s="181"/>
      <c r="AM959" s="181"/>
      <c r="AN959" s="181"/>
      <c r="AO959" s="181"/>
      <c r="AP959" s="181"/>
      <c r="AQ959" s="181"/>
      <c r="AR959" s="181"/>
      <c r="AS959" s="181"/>
      <c r="AT959" s="181"/>
      <c r="AU959" s="181"/>
      <c r="AV959" s="181"/>
      <c r="AW959" s="181"/>
    </row>
    <row r="960" spans="1:49" ht="13.5" customHeight="1" x14ac:dyDescent="0.3">
      <c r="A960" s="1"/>
      <c r="B960" s="181"/>
      <c r="C960" s="181"/>
      <c r="D960" s="181"/>
      <c r="E960" s="182"/>
      <c r="F960" s="182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  <c r="AA960" s="181"/>
      <c r="AB960" s="181"/>
      <c r="AC960" s="181"/>
      <c r="AD960" s="181"/>
      <c r="AE960" s="181"/>
      <c r="AF960" s="181"/>
      <c r="AG960" s="181"/>
      <c r="AH960" s="181"/>
      <c r="AI960" s="181"/>
      <c r="AJ960" s="181"/>
      <c r="AK960" s="181"/>
      <c r="AL960" s="181"/>
      <c r="AM960" s="181"/>
      <c r="AN960" s="181"/>
      <c r="AO960" s="181"/>
      <c r="AP960" s="181"/>
      <c r="AQ960" s="181"/>
      <c r="AR960" s="181"/>
      <c r="AS960" s="181"/>
      <c r="AT960" s="181"/>
      <c r="AU960" s="181"/>
      <c r="AV960" s="181"/>
      <c r="AW960" s="181"/>
    </row>
    <row r="961" spans="1:49" ht="13.5" customHeight="1" x14ac:dyDescent="0.3">
      <c r="A961" s="1"/>
      <c r="B961" s="181"/>
      <c r="C961" s="181"/>
      <c r="D961" s="181"/>
      <c r="E961" s="182"/>
      <c r="F961" s="182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  <c r="AA961" s="181"/>
      <c r="AB961" s="181"/>
      <c r="AC961" s="181"/>
      <c r="AD961" s="181"/>
      <c r="AE961" s="181"/>
      <c r="AF961" s="181"/>
      <c r="AG961" s="181"/>
      <c r="AH961" s="181"/>
      <c r="AI961" s="181"/>
      <c r="AJ961" s="181"/>
      <c r="AK961" s="181"/>
      <c r="AL961" s="181"/>
      <c r="AM961" s="181"/>
      <c r="AN961" s="181"/>
      <c r="AO961" s="181"/>
      <c r="AP961" s="181"/>
      <c r="AQ961" s="181"/>
      <c r="AR961" s="181"/>
      <c r="AS961" s="181"/>
      <c r="AT961" s="181"/>
      <c r="AU961" s="181"/>
      <c r="AV961" s="181"/>
      <c r="AW961" s="181"/>
    </row>
    <row r="962" spans="1:49" ht="13.5" customHeight="1" x14ac:dyDescent="0.3">
      <c r="A962" s="1"/>
      <c r="B962" s="181"/>
      <c r="C962" s="181"/>
      <c r="D962" s="181"/>
      <c r="E962" s="182"/>
      <c r="F962" s="182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  <c r="AA962" s="181"/>
      <c r="AB962" s="181"/>
      <c r="AC962" s="181"/>
      <c r="AD962" s="181"/>
      <c r="AE962" s="181"/>
      <c r="AF962" s="181"/>
      <c r="AG962" s="181"/>
      <c r="AH962" s="181"/>
      <c r="AI962" s="181"/>
      <c r="AJ962" s="181"/>
      <c r="AK962" s="181"/>
      <c r="AL962" s="181"/>
      <c r="AM962" s="181"/>
      <c r="AN962" s="181"/>
      <c r="AO962" s="181"/>
      <c r="AP962" s="181"/>
      <c r="AQ962" s="181"/>
      <c r="AR962" s="181"/>
      <c r="AS962" s="181"/>
      <c r="AT962" s="181"/>
      <c r="AU962" s="181"/>
      <c r="AV962" s="181"/>
      <c r="AW962" s="181"/>
    </row>
    <row r="963" spans="1:49" ht="13.5" customHeight="1" x14ac:dyDescent="0.3">
      <c r="A963" s="1"/>
      <c r="B963" s="181"/>
      <c r="C963" s="181"/>
      <c r="D963" s="181"/>
      <c r="E963" s="182"/>
      <c r="F963" s="182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  <c r="AA963" s="181"/>
      <c r="AB963" s="181"/>
      <c r="AC963" s="181"/>
      <c r="AD963" s="181"/>
      <c r="AE963" s="181"/>
      <c r="AF963" s="181"/>
      <c r="AG963" s="181"/>
      <c r="AH963" s="181"/>
      <c r="AI963" s="181"/>
      <c r="AJ963" s="181"/>
      <c r="AK963" s="181"/>
      <c r="AL963" s="181"/>
      <c r="AM963" s="181"/>
      <c r="AN963" s="181"/>
      <c r="AO963" s="181"/>
      <c r="AP963" s="181"/>
      <c r="AQ963" s="181"/>
      <c r="AR963" s="181"/>
      <c r="AS963" s="181"/>
      <c r="AT963" s="181"/>
      <c r="AU963" s="181"/>
      <c r="AV963" s="181"/>
      <c r="AW963" s="181"/>
    </row>
    <row r="964" spans="1:49" ht="13.5" customHeight="1" x14ac:dyDescent="0.3">
      <c r="A964" s="1"/>
      <c r="B964" s="181"/>
      <c r="C964" s="181"/>
      <c r="D964" s="181"/>
      <c r="E964" s="182"/>
      <c r="F964" s="182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  <c r="AA964" s="181"/>
      <c r="AB964" s="181"/>
      <c r="AC964" s="181"/>
      <c r="AD964" s="181"/>
      <c r="AE964" s="181"/>
      <c r="AF964" s="181"/>
      <c r="AG964" s="181"/>
      <c r="AH964" s="181"/>
      <c r="AI964" s="181"/>
      <c r="AJ964" s="181"/>
      <c r="AK964" s="181"/>
      <c r="AL964" s="181"/>
      <c r="AM964" s="181"/>
      <c r="AN964" s="181"/>
      <c r="AO964" s="181"/>
      <c r="AP964" s="181"/>
      <c r="AQ964" s="181"/>
      <c r="AR964" s="181"/>
      <c r="AS964" s="181"/>
      <c r="AT964" s="181"/>
      <c r="AU964" s="181"/>
      <c r="AV964" s="181"/>
      <c r="AW964" s="181"/>
    </row>
    <row r="965" spans="1:49" ht="13.5" customHeight="1" x14ac:dyDescent="0.3">
      <c r="A965" s="1"/>
      <c r="B965" s="181"/>
      <c r="C965" s="181"/>
      <c r="D965" s="181"/>
      <c r="E965" s="182"/>
      <c r="F965" s="182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  <c r="AA965" s="181"/>
      <c r="AB965" s="181"/>
      <c r="AC965" s="181"/>
      <c r="AD965" s="181"/>
      <c r="AE965" s="181"/>
      <c r="AF965" s="181"/>
      <c r="AG965" s="181"/>
      <c r="AH965" s="181"/>
      <c r="AI965" s="181"/>
      <c r="AJ965" s="181"/>
      <c r="AK965" s="181"/>
      <c r="AL965" s="181"/>
      <c r="AM965" s="181"/>
      <c r="AN965" s="181"/>
      <c r="AO965" s="181"/>
      <c r="AP965" s="181"/>
      <c r="AQ965" s="181"/>
      <c r="AR965" s="181"/>
      <c r="AS965" s="181"/>
      <c r="AT965" s="181"/>
      <c r="AU965" s="181"/>
      <c r="AV965" s="181"/>
      <c r="AW965" s="181"/>
    </row>
    <row r="966" spans="1:49" ht="13.5" customHeight="1" x14ac:dyDescent="0.3">
      <c r="A966" s="1"/>
      <c r="B966" s="181"/>
      <c r="C966" s="181"/>
      <c r="D966" s="181"/>
      <c r="E966" s="182"/>
      <c r="F966" s="182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  <c r="AA966" s="181"/>
      <c r="AB966" s="181"/>
      <c r="AC966" s="181"/>
      <c r="AD966" s="181"/>
      <c r="AE966" s="181"/>
      <c r="AF966" s="181"/>
      <c r="AG966" s="181"/>
      <c r="AH966" s="181"/>
      <c r="AI966" s="181"/>
      <c r="AJ966" s="181"/>
      <c r="AK966" s="181"/>
      <c r="AL966" s="181"/>
      <c r="AM966" s="181"/>
      <c r="AN966" s="181"/>
      <c r="AO966" s="181"/>
      <c r="AP966" s="181"/>
      <c r="AQ966" s="181"/>
      <c r="AR966" s="181"/>
      <c r="AS966" s="181"/>
      <c r="AT966" s="181"/>
      <c r="AU966" s="181"/>
      <c r="AV966" s="181"/>
      <c r="AW966" s="181"/>
    </row>
    <row r="967" spans="1:49" ht="13.5" customHeight="1" x14ac:dyDescent="0.3">
      <c r="A967" s="1"/>
      <c r="B967" s="181"/>
      <c r="C967" s="181"/>
      <c r="D967" s="181"/>
      <c r="E967" s="182"/>
      <c r="F967" s="182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  <c r="AA967" s="181"/>
      <c r="AB967" s="181"/>
      <c r="AC967" s="181"/>
      <c r="AD967" s="181"/>
      <c r="AE967" s="181"/>
      <c r="AF967" s="181"/>
      <c r="AG967" s="181"/>
      <c r="AH967" s="181"/>
      <c r="AI967" s="181"/>
      <c r="AJ967" s="181"/>
      <c r="AK967" s="181"/>
      <c r="AL967" s="181"/>
      <c r="AM967" s="181"/>
      <c r="AN967" s="181"/>
      <c r="AO967" s="181"/>
      <c r="AP967" s="181"/>
      <c r="AQ967" s="181"/>
      <c r="AR967" s="181"/>
      <c r="AS967" s="181"/>
      <c r="AT967" s="181"/>
      <c r="AU967" s="181"/>
      <c r="AV967" s="181"/>
      <c r="AW967" s="181"/>
    </row>
    <row r="968" spans="1:49" ht="13.5" customHeight="1" x14ac:dyDescent="0.3">
      <c r="A968" s="1"/>
      <c r="B968" s="181"/>
      <c r="C968" s="181"/>
      <c r="D968" s="181"/>
      <c r="E968" s="182"/>
      <c r="F968" s="182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  <c r="AA968" s="181"/>
      <c r="AB968" s="181"/>
      <c r="AC968" s="181"/>
      <c r="AD968" s="181"/>
      <c r="AE968" s="181"/>
      <c r="AF968" s="181"/>
      <c r="AG968" s="181"/>
      <c r="AH968" s="181"/>
      <c r="AI968" s="181"/>
      <c r="AJ968" s="181"/>
      <c r="AK968" s="181"/>
      <c r="AL968" s="181"/>
      <c r="AM968" s="181"/>
      <c r="AN968" s="181"/>
      <c r="AO968" s="181"/>
      <c r="AP968" s="181"/>
      <c r="AQ968" s="181"/>
      <c r="AR968" s="181"/>
      <c r="AS968" s="181"/>
      <c r="AT968" s="181"/>
      <c r="AU968" s="181"/>
      <c r="AV968" s="181"/>
      <c r="AW968" s="181"/>
    </row>
    <row r="969" spans="1:49" ht="13.5" customHeight="1" x14ac:dyDescent="0.3">
      <c r="A969" s="1"/>
      <c r="B969" s="181"/>
      <c r="C969" s="181"/>
      <c r="D969" s="181"/>
      <c r="E969" s="182"/>
      <c r="F969" s="182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  <c r="AA969" s="181"/>
      <c r="AB969" s="181"/>
      <c r="AC969" s="181"/>
      <c r="AD969" s="181"/>
      <c r="AE969" s="181"/>
      <c r="AF969" s="181"/>
      <c r="AG969" s="181"/>
      <c r="AH969" s="181"/>
      <c r="AI969" s="181"/>
      <c r="AJ969" s="181"/>
      <c r="AK969" s="181"/>
      <c r="AL969" s="181"/>
      <c r="AM969" s="181"/>
      <c r="AN969" s="181"/>
      <c r="AO969" s="181"/>
      <c r="AP969" s="181"/>
      <c r="AQ969" s="181"/>
      <c r="AR969" s="181"/>
      <c r="AS969" s="181"/>
      <c r="AT969" s="181"/>
      <c r="AU969" s="181"/>
      <c r="AV969" s="181"/>
      <c r="AW969" s="181"/>
    </row>
    <row r="970" spans="1:49" ht="13.5" customHeight="1" x14ac:dyDescent="0.3">
      <c r="A970" s="1"/>
      <c r="B970" s="181"/>
      <c r="C970" s="181"/>
      <c r="D970" s="181"/>
      <c r="E970" s="182"/>
      <c r="F970" s="182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  <c r="AA970" s="181"/>
      <c r="AB970" s="181"/>
      <c r="AC970" s="181"/>
      <c r="AD970" s="181"/>
      <c r="AE970" s="181"/>
      <c r="AF970" s="181"/>
      <c r="AG970" s="181"/>
      <c r="AH970" s="181"/>
      <c r="AI970" s="181"/>
      <c r="AJ970" s="181"/>
      <c r="AK970" s="181"/>
      <c r="AL970" s="181"/>
      <c r="AM970" s="181"/>
      <c r="AN970" s="181"/>
      <c r="AO970" s="181"/>
      <c r="AP970" s="181"/>
      <c r="AQ970" s="181"/>
      <c r="AR970" s="181"/>
      <c r="AS970" s="181"/>
      <c r="AT970" s="181"/>
      <c r="AU970" s="181"/>
      <c r="AV970" s="181"/>
      <c r="AW970" s="181"/>
    </row>
    <row r="971" spans="1:49" ht="13.5" customHeight="1" x14ac:dyDescent="0.3">
      <c r="A971" s="1"/>
      <c r="B971" s="181"/>
      <c r="C971" s="181"/>
      <c r="D971" s="181"/>
      <c r="E971" s="182"/>
      <c r="F971" s="182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  <c r="AA971" s="181"/>
      <c r="AB971" s="181"/>
      <c r="AC971" s="181"/>
      <c r="AD971" s="181"/>
      <c r="AE971" s="181"/>
      <c r="AF971" s="181"/>
      <c r="AG971" s="181"/>
      <c r="AH971" s="181"/>
      <c r="AI971" s="181"/>
      <c r="AJ971" s="181"/>
      <c r="AK971" s="181"/>
      <c r="AL971" s="181"/>
      <c r="AM971" s="181"/>
      <c r="AN971" s="181"/>
      <c r="AO971" s="181"/>
      <c r="AP971" s="181"/>
      <c r="AQ971" s="181"/>
      <c r="AR971" s="181"/>
      <c r="AS971" s="181"/>
      <c r="AT971" s="181"/>
      <c r="AU971" s="181"/>
      <c r="AV971" s="181"/>
      <c r="AW971" s="181"/>
    </row>
    <row r="972" spans="1:49" ht="13.5" customHeight="1" x14ac:dyDescent="0.3">
      <c r="A972" s="1"/>
      <c r="B972" s="181"/>
      <c r="C972" s="181"/>
      <c r="D972" s="181"/>
      <c r="E972" s="182"/>
      <c r="F972" s="182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  <c r="AA972" s="181"/>
      <c r="AB972" s="181"/>
      <c r="AC972" s="181"/>
      <c r="AD972" s="181"/>
      <c r="AE972" s="181"/>
      <c r="AF972" s="181"/>
      <c r="AG972" s="181"/>
      <c r="AH972" s="181"/>
      <c r="AI972" s="181"/>
      <c r="AJ972" s="181"/>
      <c r="AK972" s="181"/>
      <c r="AL972" s="181"/>
      <c r="AM972" s="181"/>
      <c r="AN972" s="181"/>
      <c r="AO972" s="181"/>
      <c r="AP972" s="181"/>
      <c r="AQ972" s="181"/>
      <c r="AR972" s="181"/>
      <c r="AS972" s="181"/>
      <c r="AT972" s="181"/>
      <c r="AU972" s="181"/>
      <c r="AV972" s="181"/>
      <c r="AW972" s="181"/>
    </row>
    <row r="973" spans="1:49" ht="13.5" customHeight="1" x14ac:dyDescent="0.3">
      <c r="A973" s="1"/>
      <c r="B973" s="181"/>
      <c r="C973" s="181"/>
      <c r="D973" s="181"/>
      <c r="E973" s="182"/>
      <c r="F973" s="182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  <c r="AA973" s="181"/>
      <c r="AB973" s="181"/>
      <c r="AC973" s="181"/>
      <c r="AD973" s="181"/>
      <c r="AE973" s="181"/>
      <c r="AF973" s="181"/>
      <c r="AG973" s="181"/>
      <c r="AH973" s="181"/>
      <c r="AI973" s="181"/>
      <c r="AJ973" s="181"/>
      <c r="AK973" s="181"/>
      <c r="AL973" s="181"/>
      <c r="AM973" s="181"/>
      <c r="AN973" s="181"/>
      <c r="AO973" s="181"/>
      <c r="AP973" s="181"/>
      <c r="AQ973" s="181"/>
      <c r="AR973" s="181"/>
      <c r="AS973" s="181"/>
      <c r="AT973" s="181"/>
      <c r="AU973" s="181"/>
      <c r="AV973" s="181"/>
      <c r="AW973" s="181"/>
    </row>
    <row r="974" spans="1:49" ht="13.5" customHeight="1" x14ac:dyDescent="0.3">
      <c r="A974" s="1"/>
      <c r="B974" s="181"/>
      <c r="C974" s="181"/>
      <c r="D974" s="181"/>
      <c r="E974" s="182"/>
      <c r="F974" s="182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  <c r="AA974" s="181"/>
      <c r="AB974" s="181"/>
      <c r="AC974" s="181"/>
      <c r="AD974" s="181"/>
      <c r="AE974" s="181"/>
      <c r="AF974" s="181"/>
      <c r="AG974" s="181"/>
      <c r="AH974" s="181"/>
      <c r="AI974" s="181"/>
      <c r="AJ974" s="181"/>
      <c r="AK974" s="181"/>
      <c r="AL974" s="181"/>
      <c r="AM974" s="181"/>
      <c r="AN974" s="181"/>
      <c r="AO974" s="181"/>
      <c r="AP974" s="181"/>
      <c r="AQ974" s="181"/>
      <c r="AR974" s="181"/>
      <c r="AS974" s="181"/>
      <c r="AT974" s="181"/>
      <c r="AU974" s="181"/>
      <c r="AV974" s="181"/>
      <c r="AW974" s="181"/>
    </row>
    <row r="975" spans="1:49" ht="13.5" customHeight="1" x14ac:dyDescent="0.3">
      <c r="A975" s="1"/>
      <c r="B975" s="181"/>
      <c r="C975" s="181"/>
      <c r="D975" s="181"/>
      <c r="E975" s="182"/>
      <c r="F975" s="182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  <c r="AA975" s="181"/>
      <c r="AB975" s="181"/>
      <c r="AC975" s="181"/>
      <c r="AD975" s="181"/>
      <c r="AE975" s="181"/>
      <c r="AF975" s="181"/>
      <c r="AG975" s="181"/>
      <c r="AH975" s="181"/>
      <c r="AI975" s="181"/>
      <c r="AJ975" s="181"/>
      <c r="AK975" s="181"/>
      <c r="AL975" s="181"/>
      <c r="AM975" s="181"/>
      <c r="AN975" s="181"/>
      <c r="AO975" s="181"/>
      <c r="AP975" s="181"/>
      <c r="AQ975" s="181"/>
      <c r="AR975" s="181"/>
      <c r="AS975" s="181"/>
      <c r="AT975" s="181"/>
      <c r="AU975" s="181"/>
      <c r="AV975" s="181"/>
      <c r="AW975" s="181"/>
    </row>
    <row r="976" spans="1:49" ht="13.5" customHeight="1" x14ac:dyDescent="0.3">
      <c r="A976" s="1"/>
      <c r="B976" s="181"/>
      <c r="C976" s="181"/>
      <c r="D976" s="181"/>
      <c r="E976" s="182"/>
      <c r="F976" s="182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  <c r="AA976" s="181"/>
      <c r="AB976" s="181"/>
      <c r="AC976" s="181"/>
      <c r="AD976" s="181"/>
      <c r="AE976" s="181"/>
      <c r="AF976" s="181"/>
      <c r="AG976" s="181"/>
      <c r="AH976" s="181"/>
      <c r="AI976" s="181"/>
      <c r="AJ976" s="181"/>
      <c r="AK976" s="181"/>
      <c r="AL976" s="181"/>
      <c r="AM976" s="181"/>
      <c r="AN976" s="181"/>
      <c r="AO976" s="181"/>
      <c r="AP976" s="181"/>
      <c r="AQ976" s="181"/>
      <c r="AR976" s="181"/>
      <c r="AS976" s="181"/>
      <c r="AT976" s="181"/>
      <c r="AU976" s="181"/>
      <c r="AV976" s="181"/>
      <c r="AW976" s="181"/>
    </row>
    <row r="977" spans="1:49" ht="13.5" customHeight="1" x14ac:dyDescent="0.3">
      <c r="A977" s="1"/>
      <c r="B977" s="181"/>
      <c r="C977" s="181"/>
      <c r="D977" s="181"/>
      <c r="E977" s="182"/>
      <c r="F977" s="182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  <c r="AA977" s="181"/>
      <c r="AB977" s="181"/>
      <c r="AC977" s="181"/>
      <c r="AD977" s="181"/>
      <c r="AE977" s="181"/>
      <c r="AF977" s="181"/>
      <c r="AG977" s="181"/>
      <c r="AH977" s="181"/>
      <c r="AI977" s="181"/>
      <c r="AJ977" s="181"/>
      <c r="AK977" s="181"/>
      <c r="AL977" s="181"/>
      <c r="AM977" s="181"/>
      <c r="AN977" s="181"/>
      <c r="AO977" s="181"/>
      <c r="AP977" s="181"/>
      <c r="AQ977" s="181"/>
      <c r="AR977" s="181"/>
      <c r="AS977" s="181"/>
      <c r="AT977" s="181"/>
      <c r="AU977" s="181"/>
      <c r="AV977" s="181"/>
      <c r="AW977" s="181"/>
    </row>
    <row r="978" spans="1:49" ht="13.5" customHeight="1" x14ac:dyDescent="0.3">
      <c r="A978" s="1"/>
      <c r="B978" s="181"/>
      <c r="C978" s="181"/>
      <c r="D978" s="181"/>
      <c r="E978" s="182"/>
      <c r="F978" s="182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  <c r="AA978" s="181"/>
      <c r="AB978" s="181"/>
      <c r="AC978" s="181"/>
      <c r="AD978" s="181"/>
      <c r="AE978" s="181"/>
      <c r="AF978" s="181"/>
      <c r="AG978" s="181"/>
      <c r="AH978" s="181"/>
      <c r="AI978" s="181"/>
      <c r="AJ978" s="181"/>
      <c r="AK978" s="181"/>
      <c r="AL978" s="181"/>
      <c r="AM978" s="181"/>
      <c r="AN978" s="181"/>
      <c r="AO978" s="181"/>
      <c r="AP978" s="181"/>
      <c r="AQ978" s="181"/>
      <c r="AR978" s="181"/>
      <c r="AS978" s="181"/>
      <c r="AT978" s="181"/>
      <c r="AU978" s="181"/>
      <c r="AV978" s="181"/>
      <c r="AW978" s="181"/>
    </row>
    <row r="979" spans="1:49" ht="13.5" customHeight="1" x14ac:dyDescent="0.3">
      <c r="A979" s="1"/>
      <c r="B979" s="181"/>
      <c r="C979" s="181"/>
      <c r="D979" s="181"/>
      <c r="E979" s="182"/>
      <c r="F979" s="182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  <c r="AA979" s="181"/>
      <c r="AB979" s="181"/>
      <c r="AC979" s="181"/>
      <c r="AD979" s="181"/>
      <c r="AE979" s="181"/>
      <c r="AF979" s="181"/>
      <c r="AG979" s="181"/>
      <c r="AH979" s="181"/>
      <c r="AI979" s="181"/>
      <c r="AJ979" s="181"/>
      <c r="AK979" s="181"/>
      <c r="AL979" s="181"/>
      <c r="AM979" s="181"/>
      <c r="AN979" s="181"/>
      <c r="AO979" s="181"/>
      <c r="AP979" s="181"/>
      <c r="AQ979" s="181"/>
      <c r="AR979" s="181"/>
      <c r="AS979" s="181"/>
      <c r="AT979" s="181"/>
      <c r="AU979" s="181"/>
      <c r="AV979" s="181"/>
      <c r="AW979" s="181"/>
    </row>
    <row r="980" spans="1:49" ht="13.5" customHeight="1" x14ac:dyDescent="0.3">
      <c r="A980" s="1"/>
      <c r="B980" s="181"/>
      <c r="C980" s="181"/>
      <c r="D980" s="181"/>
      <c r="E980" s="182"/>
      <c r="F980" s="182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  <c r="AA980" s="181"/>
      <c r="AB980" s="181"/>
      <c r="AC980" s="181"/>
      <c r="AD980" s="181"/>
      <c r="AE980" s="181"/>
      <c r="AF980" s="181"/>
      <c r="AG980" s="181"/>
      <c r="AH980" s="181"/>
      <c r="AI980" s="181"/>
      <c r="AJ980" s="181"/>
      <c r="AK980" s="181"/>
      <c r="AL980" s="181"/>
      <c r="AM980" s="181"/>
      <c r="AN980" s="181"/>
      <c r="AO980" s="181"/>
      <c r="AP980" s="181"/>
      <c r="AQ980" s="181"/>
      <c r="AR980" s="181"/>
      <c r="AS980" s="181"/>
      <c r="AT980" s="181"/>
      <c r="AU980" s="181"/>
      <c r="AV980" s="181"/>
      <c r="AW980" s="181"/>
    </row>
    <row r="981" spans="1:49" ht="13.5" customHeight="1" x14ac:dyDescent="0.3">
      <c r="A981" s="1"/>
      <c r="B981" s="181"/>
      <c r="C981" s="181"/>
      <c r="D981" s="181"/>
      <c r="E981" s="182"/>
      <c r="F981" s="182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  <c r="AA981" s="181"/>
      <c r="AB981" s="181"/>
      <c r="AC981" s="181"/>
      <c r="AD981" s="181"/>
      <c r="AE981" s="181"/>
      <c r="AF981" s="181"/>
      <c r="AG981" s="181"/>
      <c r="AH981" s="181"/>
      <c r="AI981" s="181"/>
      <c r="AJ981" s="181"/>
      <c r="AK981" s="181"/>
      <c r="AL981" s="181"/>
      <c r="AM981" s="181"/>
      <c r="AN981" s="181"/>
      <c r="AO981" s="181"/>
      <c r="AP981" s="181"/>
      <c r="AQ981" s="181"/>
      <c r="AR981" s="181"/>
      <c r="AS981" s="181"/>
      <c r="AT981" s="181"/>
      <c r="AU981" s="181"/>
      <c r="AV981" s="181"/>
      <c r="AW981" s="181"/>
    </row>
    <row r="982" spans="1:49" ht="13.5" customHeight="1" x14ac:dyDescent="0.3">
      <c r="A982" s="1"/>
      <c r="B982" s="181"/>
      <c r="C982" s="181"/>
      <c r="D982" s="181"/>
      <c r="E982" s="182"/>
      <c r="F982" s="182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  <c r="AA982" s="181"/>
      <c r="AB982" s="181"/>
      <c r="AC982" s="181"/>
      <c r="AD982" s="181"/>
      <c r="AE982" s="181"/>
      <c r="AF982" s="181"/>
      <c r="AG982" s="181"/>
      <c r="AH982" s="181"/>
      <c r="AI982" s="181"/>
      <c r="AJ982" s="181"/>
      <c r="AK982" s="181"/>
      <c r="AL982" s="181"/>
      <c r="AM982" s="181"/>
      <c r="AN982" s="181"/>
      <c r="AO982" s="181"/>
      <c r="AP982" s="181"/>
      <c r="AQ982" s="181"/>
      <c r="AR982" s="181"/>
      <c r="AS982" s="181"/>
      <c r="AT982" s="181"/>
      <c r="AU982" s="181"/>
      <c r="AV982" s="181"/>
      <c r="AW982" s="181"/>
    </row>
    <row r="983" spans="1:49" ht="13.5" customHeight="1" x14ac:dyDescent="0.3">
      <c r="A983" s="1"/>
      <c r="B983" s="181"/>
      <c r="C983" s="181"/>
      <c r="D983" s="181"/>
      <c r="E983" s="182"/>
      <c r="F983" s="182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  <c r="AA983" s="181"/>
      <c r="AB983" s="181"/>
      <c r="AC983" s="181"/>
      <c r="AD983" s="181"/>
      <c r="AE983" s="181"/>
      <c r="AF983" s="181"/>
      <c r="AG983" s="181"/>
      <c r="AH983" s="181"/>
      <c r="AI983" s="181"/>
      <c r="AJ983" s="181"/>
      <c r="AK983" s="181"/>
      <c r="AL983" s="181"/>
      <c r="AM983" s="181"/>
      <c r="AN983" s="181"/>
      <c r="AO983" s="181"/>
      <c r="AP983" s="181"/>
      <c r="AQ983" s="181"/>
      <c r="AR983" s="181"/>
      <c r="AS983" s="181"/>
      <c r="AT983" s="181"/>
      <c r="AU983" s="181"/>
      <c r="AV983" s="181"/>
      <c r="AW983" s="181"/>
    </row>
    <row r="984" spans="1:49" ht="13.5" customHeight="1" x14ac:dyDescent="0.3">
      <c r="A984" s="1"/>
      <c r="B984" s="181"/>
      <c r="C984" s="181"/>
      <c r="D984" s="181"/>
      <c r="E984" s="182"/>
      <c r="F984" s="182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  <c r="AA984" s="181"/>
      <c r="AB984" s="181"/>
      <c r="AC984" s="181"/>
      <c r="AD984" s="181"/>
      <c r="AE984" s="181"/>
      <c r="AF984" s="181"/>
      <c r="AG984" s="181"/>
      <c r="AH984" s="181"/>
      <c r="AI984" s="181"/>
      <c r="AJ984" s="181"/>
      <c r="AK984" s="181"/>
      <c r="AL984" s="181"/>
      <c r="AM984" s="181"/>
      <c r="AN984" s="181"/>
      <c r="AO984" s="181"/>
      <c r="AP984" s="181"/>
      <c r="AQ984" s="181"/>
      <c r="AR984" s="181"/>
      <c r="AS984" s="181"/>
      <c r="AT984" s="181"/>
      <c r="AU984" s="181"/>
      <c r="AV984" s="181"/>
      <c r="AW984" s="181"/>
    </row>
    <row r="985" spans="1:49" ht="13.5" customHeight="1" x14ac:dyDescent="0.3">
      <c r="A985" s="1"/>
      <c r="B985" s="181"/>
      <c r="C985" s="181"/>
      <c r="D985" s="181"/>
      <c r="E985" s="182"/>
      <c r="F985" s="182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  <c r="AA985" s="181"/>
      <c r="AB985" s="181"/>
      <c r="AC985" s="181"/>
      <c r="AD985" s="181"/>
      <c r="AE985" s="181"/>
      <c r="AF985" s="181"/>
      <c r="AG985" s="181"/>
      <c r="AH985" s="181"/>
      <c r="AI985" s="181"/>
      <c r="AJ985" s="181"/>
      <c r="AK985" s="181"/>
      <c r="AL985" s="181"/>
      <c r="AM985" s="181"/>
      <c r="AN985" s="181"/>
      <c r="AO985" s="181"/>
      <c r="AP985" s="181"/>
      <c r="AQ985" s="181"/>
      <c r="AR985" s="181"/>
      <c r="AS985" s="181"/>
      <c r="AT985" s="181"/>
      <c r="AU985" s="181"/>
      <c r="AV985" s="181"/>
      <c r="AW985" s="181"/>
    </row>
    <row r="986" spans="1:49" ht="13.5" customHeight="1" x14ac:dyDescent="0.3">
      <c r="A986" s="1"/>
      <c r="B986" s="181"/>
      <c r="C986" s="181"/>
      <c r="D986" s="181"/>
      <c r="E986" s="182"/>
      <c r="F986" s="182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  <c r="AA986" s="181"/>
      <c r="AB986" s="181"/>
      <c r="AC986" s="181"/>
      <c r="AD986" s="181"/>
      <c r="AE986" s="181"/>
      <c r="AF986" s="181"/>
      <c r="AG986" s="181"/>
      <c r="AH986" s="181"/>
      <c r="AI986" s="181"/>
      <c r="AJ986" s="181"/>
      <c r="AK986" s="181"/>
      <c r="AL986" s="181"/>
      <c r="AM986" s="181"/>
      <c r="AN986" s="181"/>
      <c r="AO986" s="181"/>
      <c r="AP986" s="181"/>
      <c r="AQ986" s="181"/>
      <c r="AR986" s="181"/>
      <c r="AS986" s="181"/>
      <c r="AT986" s="181"/>
      <c r="AU986" s="181"/>
      <c r="AV986" s="181"/>
      <c r="AW986" s="181"/>
    </row>
    <row r="987" spans="1:49" ht="13.5" customHeight="1" x14ac:dyDescent="0.3">
      <c r="A987" s="1"/>
      <c r="B987" s="181"/>
      <c r="C987" s="181"/>
      <c r="D987" s="181"/>
      <c r="E987" s="182"/>
      <c r="F987" s="182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  <c r="AA987" s="181"/>
      <c r="AB987" s="181"/>
      <c r="AC987" s="181"/>
      <c r="AD987" s="181"/>
      <c r="AE987" s="181"/>
      <c r="AF987" s="181"/>
      <c r="AG987" s="181"/>
      <c r="AH987" s="181"/>
      <c r="AI987" s="181"/>
      <c r="AJ987" s="181"/>
      <c r="AK987" s="181"/>
      <c r="AL987" s="181"/>
      <c r="AM987" s="181"/>
      <c r="AN987" s="181"/>
      <c r="AO987" s="181"/>
      <c r="AP987" s="181"/>
      <c r="AQ987" s="181"/>
      <c r="AR987" s="181"/>
      <c r="AS987" s="181"/>
      <c r="AT987" s="181"/>
      <c r="AU987" s="181"/>
      <c r="AV987" s="181"/>
      <c r="AW987" s="181"/>
    </row>
    <row r="988" spans="1:49" ht="13.5" customHeight="1" x14ac:dyDescent="0.3">
      <c r="A988" s="1"/>
      <c r="B988" s="181"/>
      <c r="C988" s="181"/>
      <c r="D988" s="181"/>
      <c r="E988" s="182"/>
      <c r="F988" s="182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  <c r="AA988" s="181"/>
      <c r="AB988" s="181"/>
      <c r="AC988" s="181"/>
      <c r="AD988" s="181"/>
      <c r="AE988" s="181"/>
      <c r="AF988" s="181"/>
      <c r="AG988" s="181"/>
      <c r="AH988" s="181"/>
      <c r="AI988" s="181"/>
      <c r="AJ988" s="181"/>
      <c r="AK988" s="181"/>
      <c r="AL988" s="181"/>
      <c r="AM988" s="181"/>
      <c r="AN988" s="181"/>
      <c r="AO988" s="181"/>
      <c r="AP988" s="181"/>
      <c r="AQ988" s="181"/>
      <c r="AR988" s="181"/>
      <c r="AS988" s="181"/>
      <c r="AT988" s="181"/>
      <c r="AU988" s="181"/>
      <c r="AV988" s="181"/>
      <c r="AW988" s="181"/>
    </row>
    <row r="989" spans="1:49" ht="13.5" customHeight="1" x14ac:dyDescent="0.3">
      <c r="A989" s="1"/>
      <c r="B989" s="181"/>
      <c r="C989" s="181"/>
      <c r="D989" s="181"/>
      <c r="E989" s="182"/>
      <c r="F989" s="182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  <c r="AA989" s="181"/>
      <c r="AB989" s="181"/>
      <c r="AC989" s="181"/>
      <c r="AD989" s="181"/>
      <c r="AE989" s="181"/>
      <c r="AF989" s="181"/>
      <c r="AG989" s="181"/>
      <c r="AH989" s="181"/>
      <c r="AI989" s="181"/>
      <c r="AJ989" s="181"/>
      <c r="AK989" s="181"/>
      <c r="AL989" s="181"/>
      <c r="AM989" s="181"/>
      <c r="AN989" s="181"/>
      <c r="AO989" s="181"/>
      <c r="AP989" s="181"/>
      <c r="AQ989" s="181"/>
      <c r="AR989" s="181"/>
      <c r="AS989" s="181"/>
      <c r="AT989" s="181"/>
      <c r="AU989" s="181"/>
      <c r="AV989" s="181"/>
      <c r="AW989" s="181"/>
    </row>
    <row r="990" spans="1:49" ht="13.5" customHeight="1" x14ac:dyDescent="0.3">
      <c r="A990" s="1"/>
      <c r="B990" s="181"/>
      <c r="C990" s="181"/>
      <c r="D990" s="181"/>
      <c r="E990" s="182"/>
      <c r="F990" s="182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  <c r="AA990" s="181"/>
      <c r="AB990" s="181"/>
      <c r="AC990" s="181"/>
      <c r="AD990" s="181"/>
      <c r="AE990" s="181"/>
      <c r="AF990" s="181"/>
      <c r="AG990" s="181"/>
      <c r="AH990" s="181"/>
      <c r="AI990" s="181"/>
      <c r="AJ990" s="181"/>
      <c r="AK990" s="181"/>
      <c r="AL990" s="181"/>
      <c r="AM990" s="181"/>
      <c r="AN990" s="181"/>
      <c r="AO990" s="181"/>
      <c r="AP990" s="181"/>
      <c r="AQ990" s="181"/>
      <c r="AR990" s="181"/>
      <c r="AS990" s="181"/>
      <c r="AT990" s="181"/>
      <c r="AU990" s="181"/>
      <c r="AV990" s="181"/>
      <c r="AW990" s="181"/>
    </row>
    <row r="991" spans="1:49" ht="13.5" customHeight="1" x14ac:dyDescent="0.3">
      <c r="A991" s="1"/>
      <c r="B991" s="181"/>
      <c r="C991" s="181"/>
      <c r="D991" s="181"/>
      <c r="E991" s="182"/>
      <c r="F991" s="182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  <c r="AA991" s="181"/>
      <c r="AB991" s="181"/>
      <c r="AC991" s="181"/>
      <c r="AD991" s="181"/>
      <c r="AE991" s="181"/>
      <c r="AF991" s="181"/>
      <c r="AG991" s="181"/>
      <c r="AH991" s="181"/>
      <c r="AI991" s="181"/>
      <c r="AJ991" s="181"/>
      <c r="AK991" s="181"/>
      <c r="AL991" s="181"/>
      <c r="AM991" s="181"/>
      <c r="AN991" s="181"/>
      <c r="AO991" s="181"/>
      <c r="AP991" s="181"/>
      <c r="AQ991" s="181"/>
      <c r="AR991" s="181"/>
      <c r="AS991" s="181"/>
      <c r="AT991" s="181"/>
      <c r="AU991" s="181"/>
      <c r="AV991" s="181"/>
      <c r="AW991" s="181"/>
    </row>
  </sheetData>
  <mergeCells count="2">
    <mergeCell ref="B1:D1"/>
    <mergeCell ref="F1:AO1"/>
  </mergeCells>
  <printOptions horizontalCentered="1"/>
  <pageMargins left="0.39370078740157483" right="0" top="0.39370078740157483" bottom="0.1968503937007874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6C5F-EE12-4D0F-B30F-2BA01C81143E}">
  <dimension ref="B2"/>
  <sheetViews>
    <sheetView workbookViewId="0">
      <selection activeCell="C45" sqref="C45"/>
    </sheetView>
  </sheetViews>
  <sheetFormatPr defaultRowHeight="15" x14ac:dyDescent="0.25"/>
  <sheetData>
    <row r="2" spans="2:2" x14ac:dyDescent="0.25">
      <c r="B2" t="s">
        <v>58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1000"/>
  <sheetViews>
    <sheetView zoomScaleNormal="10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E15" sqref="E15"/>
    </sheetView>
  </sheetViews>
  <sheetFormatPr defaultColWidth="14.42578125" defaultRowHeight="15" customHeight="1" x14ac:dyDescent="0.25"/>
  <cols>
    <col min="1" max="1" width="4.42578125" customWidth="1"/>
    <col min="2" max="2" width="7.28515625" customWidth="1"/>
    <col min="3" max="3" width="4.42578125" customWidth="1"/>
    <col min="4" max="4" width="20.140625" customWidth="1"/>
    <col min="5" max="5" width="10.85546875" customWidth="1"/>
    <col min="6" max="44" width="11.5703125" customWidth="1"/>
    <col min="45" max="45" width="13.85546875" customWidth="1"/>
    <col min="46" max="48" width="12.28515625" customWidth="1"/>
    <col min="49" max="49" width="13.85546875" customWidth="1"/>
  </cols>
  <sheetData>
    <row r="1" spans="1:49" ht="13.5" customHeight="1" x14ac:dyDescent="0.3">
      <c r="A1" s="1"/>
      <c r="B1" s="192"/>
      <c r="C1" s="193"/>
      <c r="D1" s="194"/>
      <c r="E1" s="2"/>
      <c r="F1" s="195" t="s">
        <v>0</v>
      </c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7"/>
      <c r="AP1" s="3"/>
      <c r="AQ1" s="3"/>
      <c r="AR1" s="3"/>
      <c r="AS1" s="3"/>
      <c r="AT1" s="3"/>
      <c r="AU1" s="3"/>
      <c r="AV1" s="3"/>
      <c r="AW1" s="3"/>
    </row>
    <row r="2" spans="1:49" ht="13.5" customHeight="1" x14ac:dyDescent="0.3">
      <c r="A2" s="1"/>
      <c r="B2" s="4"/>
      <c r="C2" s="5"/>
      <c r="D2" s="6"/>
      <c r="E2" s="7" t="s">
        <v>1</v>
      </c>
      <c r="F2" s="8">
        <f ca="1">TODAY()+91</f>
        <v>46285</v>
      </c>
      <c r="G2" s="8">
        <f t="shared" ref="G2:AO2" ca="1" si="0">F2+31</f>
        <v>46316</v>
      </c>
      <c r="H2" s="8">
        <f t="shared" ca="1" si="0"/>
        <v>46347</v>
      </c>
      <c r="I2" s="8">
        <f t="shared" ca="1" si="0"/>
        <v>46378</v>
      </c>
      <c r="J2" s="8">
        <f t="shared" ca="1" si="0"/>
        <v>46409</v>
      </c>
      <c r="K2" s="8">
        <f t="shared" ca="1" si="0"/>
        <v>46440</v>
      </c>
      <c r="L2" s="8">
        <f t="shared" ca="1" si="0"/>
        <v>46471</v>
      </c>
      <c r="M2" s="8">
        <f t="shared" ca="1" si="0"/>
        <v>46502</v>
      </c>
      <c r="N2" s="8">
        <f t="shared" ca="1" si="0"/>
        <v>46533</v>
      </c>
      <c r="O2" s="8">
        <f t="shared" ca="1" si="0"/>
        <v>46564</v>
      </c>
      <c r="P2" s="8">
        <f t="shared" ca="1" si="0"/>
        <v>46595</v>
      </c>
      <c r="Q2" s="8">
        <f t="shared" ca="1" si="0"/>
        <v>46626</v>
      </c>
      <c r="R2" s="8">
        <f t="shared" ca="1" si="0"/>
        <v>46657</v>
      </c>
      <c r="S2" s="8">
        <f t="shared" ca="1" si="0"/>
        <v>46688</v>
      </c>
      <c r="T2" s="8">
        <f t="shared" ca="1" si="0"/>
        <v>46719</v>
      </c>
      <c r="U2" s="8">
        <f t="shared" ca="1" si="0"/>
        <v>46750</v>
      </c>
      <c r="V2" s="8">
        <f t="shared" ca="1" si="0"/>
        <v>46781</v>
      </c>
      <c r="W2" s="8">
        <f t="shared" ca="1" si="0"/>
        <v>46812</v>
      </c>
      <c r="X2" s="8">
        <f t="shared" ca="1" si="0"/>
        <v>46843</v>
      </c>
      <c r="Y2" s="8">
        <f t="shared" ca="1" si="0"/>
        <v>46874</v>
      </c>
      <c r="Z2" s="8">
        <f t="shared" ca="1" si="0"/>
        <v>46905</v>
      </c>
      <c r="AA2" s="8">
        <f t="shared" ca="1" si="0"/>
        <v>46936</v>
      </c>
      <c r="AB2" s="8">
        <f t="shared" ca="1" si="0"/>
        <v>46967</v>
      </c>
      <c r="AC2" s="8">
        <f t="shared" ca="1" si="0"/>
        <v>46998</v>
      </c>
      <c r="AD2" s="8">
        <f t="shared" ca="1" si="0"/>
        <v>47029</v>
      </c>
      <c r="AE2" s="8">
        <f t="shared" ca="1" si="0"/>
        <v>47060</v>
      </c>
      <c r="AF2" s="8">
        <f t="shared" ca="1" si="0"/>
        <v>47091</v>
      </c>
      <c r="AG2" s="8">
        <f t="shared" ca="1" si="0"/>
        <v>47122</v>
      </c>
      <c r="AH2" s="8">
        <f t="shared" ca="1" si="0"/>
        <v>47153</v>
      </c>
      <c r="AI2" s="8">
        <f t="shared" ca="1" si="0"/>
        <v>47184</v>
      </c>
      <c r="AJ2" s="8">
        <f t="shared" ca="1" si="0"/>
        <v>47215</v>
      </c>
      <c r="AK2" s="8">
        <f t="shared" ca="1" si="0"/>
        <v>47246</v>
      </c>
      <c r="AL2" s="8">
        <f t="shared" ca="1" si="0"/>
        <v>47277</v>
      </c>
      <c r="AM2" s="8">
        <f t="shared" ca="1" si="0"/>
        <v>47308</v>
      </c>
      <c r="AN2" s="8">
        <f t="shared" ca="1" si="0"/>
        <v>47339</v>
      </c>
      <c r="AO2" s="8">
        <f t="shared" ca="1" si="0"/>
        <v>47370</v>
      </c>
      <c r="AP2" s="8" t="s">
        <v>2</v>
      </c>
      <c r="AQ2" s="8" t="s">
        <v>3</v>
      </c>
      <c r="AR2" s="8" t="s">
        <v>4</v>
      </c>
      <c r="AS2" s="8" t="s">
        <v>5</v>
      </c>
      <c r="AT2" s="8" t="s">
        <v>6</v>
      </c>
      <c r="AU2" s="8" t="s">
        <v>7</v>
      </c>
      <c r="AV2" s="8" t="s">
        <v>8</v>
      </c>
      <c r="AW2" s="8" t="s">
        <v>5</v>
      </c>
    </row>
    <row r="3" spans="1:49" ht="13.5" customHeight="1" x14ac:dyDescent="0.3">
      <c r="A3" s="9"/>
      <c r="B3" s="10" t="s">
        <v>9</v>
      </c>
      <c r="C3" s="11"/>
      <c r="D3" s="12"/>
      <c r="E3" s="13"/>
      <c r="F3" s="14">
        <f t="shared" ref="F3:AO3" si="1">SUM(F4:F6)</f>
        <v>40800</v>
      </c>
      <c r="G3" s="14">
        <f t="shared" si="1"/>
        <v>54360</v>
      </c>
      <c r="H3" s="14">
        <f t="shared" si="1"/>
        <v>60666</v>
      </c>
      <c r="I3" s="14">
        <f t="shared" si="1"/>
        <v>68919</v>
      </c>
      <c r="J3" s="14">
        <f t="shared" si="1"/>
        <v>70098.293999999994</v>
      </c>
      <c r="K3" s="14">
        <f t="shared" si="1"/>
        <v>71358.641340000002</v>
      </c>
      <c r="L3" s="14">
        <f t="shared" si="1"/>
        <v>72707.778593399998</v>
      </c>
      <c r="M3" s="14">
        <f t="shared" si="1"/>
        <v>94404.212303334018</v>
      </c>
      <c r="N3" s="14">
        <f t="shared" si="1"/>
        <v>100007.29594276736</v>
      </c>
      <c r="O3" s="14">
        <f t="shared" si="1"/>
        <v>106132.31457023503</v>
      </c>
      <c r="P3" s="14">
        <f t="shared" si="1"/>
        <v>166736.57795078141</v>
      </c>
      <c r="Q3" s="14">
        <f t="shared" si="1"/>
        <v>179456.62298861763</v>
      </c>
      <c r="R3" s="14">
        <f t="shared" si="1"/>
        <v>202724.64665525928</v>
      </c>
      <c r="S3" s="14">
        <f t="shared" si="1"/>
        <v>218327.34554159958</v>
      </c>
      <c r="T3" s="14">
        <f t="shared" si="1"/>
        <v>235490.31431657384</v>
      </c>
      <c r="U3" s="14">
        <f t="shared" si="1"/>
        <v>254369.57996904559</v>
      </c>
      <c r="V3" s="14">
        <f t="shared" si="1"/>
        <v>254369.57996904559</v>
      </c>
      <c r="W3" s="14">
        <f t="shared" si="1"/>
        <v>254369.57996904559</v>
      </c>
      <c r="X3" s="14">
        <f t="shared" si="1"/>
        <v>254369.57996904559</v>
      </c>
      <c r="Y3" s="14">
        <f t="shared" si="1"/>
        <v>254369.57996904559</v>
      </c>
      <c r="Z3" s="14">
        <f t="shared" si="1"/>
        <v>254369.57996904559</v>
      </c>
      <c r="AA3" s="14">
        <f t="shared" si="1"/>
        <v>254369.57996904559</v>
      </c>
      <c r="AB3" s="14">
        <f t="shared" si="1"/>
        <v>254369.57996904559</v>
      </c>
      <c r="AC3" s="14">
        <f t="shared" si="1"/>
        <v>257930.13772467172</v>
      </c>
      <c r="AD3" s="14">
        <f t="shared" si="1"/>
        <v>257930.13772467172</v>
      </c>
      <c r="AE3" s="14">
        <f t="shared" si="1"/>
        <v>257930.13772467172</v>
      </c>
      <c r="AF3" s="14">
        <f t="shared" si="1"/>
        <v>261627.4978032035</v>
      </c>
      <c r="AG3" s="14">
        <f t="shared" si="1"/>
        <v>261627.4978032035</v>
      </c>
      <c r="AH3" s="14">
        <f t="shared" si="1"/>
        <v>261627.4978032035</v>
      </c>
      <c r="AI3" s="14">
        <f t="shared" si="1"/>
        <v>261627.4978032035</v>
      </c>
      <c r="AJ3" s="14">
        <f t="shared" si="1"/>
        <v>261627.4978032035</v>
      </c>
      <c r="AK3" s="14">
        <f t="shared" si="1"/>
        <v>261627.4978032035</v>
      </c>
      <c r="AL3" s="14">
        <f t="shared" si="1"/>
        <v>261627.4978032035</v>
      </c>
      <c r="AM3" s="14">
        <f t="shared" si="1"/>
        <v>272011.09391206299</v>
      </c>
      <c r="AN3" s="14">
        <f t="shared" si="1"/>
        <v>272011.09391206299</v>
      </c>
      <c r="AO3" s="14">
        <f t="shared" si="1"/>
        <v>272011.09391206299</v>
      </c>
      <c r="AP3" s="15">
        <f t="shared" ref="AP3:AP26" si="2">SUM(F3:Q3)</f>
        <v>1085646.7376891356</v>
      </c>
      <c r="AQ3" s="15">
        <f t="shared" ref="AQ3:AQ26" si="3">SUM(R3:AC3)</f>
        <v>2949429.0839904696</v>
      </c>
      <c r="AR3" s="15">
        <f t="shared" ref="AR3:AR26" si="4">SUM(AD3:AO3)</f>
        <v>3163286.0418079575</v>
      </c>
      <c r="AS3" s="16">
        <f t="shared" ref="AS3:AS28" si="5">SUM(AP3:AR3)</f>
        <v>7198361.8634875622</v>
      </c>
      <c r="AT3" s="15">
        <f t="shared" ref="AT3:AV3" si="6">AP3/12</f>
        <v>90470.561474094633</v>
      </c>
      <c r="AU3" s="15">
        <f t="shared" si="6"/>
        <v>245785.7569992058</v>
      </c>
      <c r="AV3" s="15">
        <f t="shared" si="6"/>
        <v>263607.17015066312</v>
      </c>
      <c r="AW3" s="16">
        <f t="shared" ref="AW3:AW28" si="7">SUM(AT3:AV3)</f>
        <v>599863.48862396355</v>
      </c>
    </row>
    <row r="4" spans="1:49" ht="13.5" customHeight="1" x14ac:dyDescent="0.3">
      <c r="A4" s="17"/>
      <c r="B4" s="10"/>
      <c r="C4" s="18" t="s">
        <v>10</v>
      </c>
      <c r="D4" s="19"/>
      <c r="E4" s="13"/>
      <c r="F4" s="20">
        <f t="shared" ref="F4:AO4" si="8">F18*F32</f>
        <v>30000</v>
      </c>
      <c r="G4" s="20">
        <f t="shared" si="8"/>
        <v>39000</v>
      </c>
      <c r="H4" s="20">
        <f t="shared" si="8"/>
        <v>40170</v>
      </c>
      <c r="I4" s="20">
        <f t="shared" si="8"/>
        <v>40973.4</v>
      </c>
      <c r="J4" s="20">
        <f t="shared" si="8"/>
        <v>41383.133999999998</v>
      </c>
      <c r="K4" s="20">
        <f t="shared" si="8"/>
        <v>41796.965340000002</v>
      </c>
      <c r="L4" s="20">
        <f t="shared" si="8"/>
        <v>42214.934993399998</v>
      </c>
      <c r="M4" s="20">
        <f t="shared" si="8"/>
        <v>42637.084343334005</v>
      </c>
      <c r="N4" s="20">
        <f t="shared" si="8"/>
        <v>43063.455186767344</v>
      </c>
      <c r="O4" s="20">
        <f t="shared" si="8"/>
        <v>43494.089738635019</v>
      </c>
      <c r="P4" s="20">
        <f t="shared" si="8"/>
        <v>43929.030636021373</v>
      </c>
      <c r="Q4" s="20">
        <f t="shared" si="8"/>
        <v>44368.320942381586</v>
      </c>
      <c r="R4" s="20">
        <f t="shared" si="8"/>
        <v>46697.657791856618</v>
      </c>
      <c r="S4" s="20">
        <f t="shared" si="8"/>
        <v>46697.657791856618</v>
      </c>
      <c r="T4" s="20">
        <f t="shared" si="8"/>
        <v>46697.657791856618</v>
      </c>
      <c r="U4" s="20">
        <f t="shared" si="8"/>
        <v>46697.657791856618</v>
      </c>
      <c r="V4" s="20">
        <f t="shared" si="8"/>
        <v>46697.657791856618</v>
      </c>
      <c r="W4" s="20">
        <f t="shared" si="8"/>
        <v>46697.657791856618</v>
      </c>
      <c r="X4" s="20">
        <f t="shared" si="8"/>
        <v>46697.657791856618</v>
      </c>
      <c r="Y4" s="20">
        <f t="shared" si="8"/>
        <v>46697.657791856618</v>
      </c>
      <c r="Z4" s="20">
        <f t="shared" si="8"/>
        <v>46697.657791856618</v>
      </c>
      <c r="AA4" s="20">
        <f t="shared" si="8"/>
        <v>46697.657791856618</v>
      </c>
      <c r="AB4" s="20">
        <f t="shared" si="8"/>
        <v>46697.657791856618</v>
      </c>
      <c r="AC4" s="20">
        <f t="shared" si="8"/>
        <v>50258.215547482738</v>
      </c>
      <c r="AD4" s="20">
        <f t="shared" si="8"/>
        <v>50258.215547482738</v>
      </c>
      <c r="AE4" s="20">
        <f t="shared" si="8"/>
        <v>50258.215547482738</v>
      </c>
      <c r="AF4" s="20">
        <f t="shared" si="8"/>
        <v>53955.575626014535</v>
      </c>
      <c r="AG4" s="20">
        <f t="shared" si="8"/>
        <v>53955.575626014535</v>
      </c>
      <c r="AH4" s="20">
        <f t="shared" si="8"/>
        <v>53955.575626014535</v>
      </c>
      <c r="AI4" s="20">
        <f t="shared" si="8"/>
        <v>53955.575626014535</v>
      </c>
      <c r="AJ4" s="20">
        <f t="shared" si="8"/>
        <v>53955.575626014535</v>
      </c>
      <c r="AK4" s="20">
        <f t="shared" si="8"/>
        <v>53955.575626014535</v>
      </c>
      <c r="AL4" s="20">
        <f t="shared" si="8"/>
        <v>53955.575626014535</v>
      </c>
      <c r="AM4" s="20">
        <f t="shared" si="8"/>
        <v>53955.575626014535</v>
      </c>
      <c r="AN4" s="20">
        <f t="shared" si="8"/>
        <v>53955.575626014535</v>
      </c>
      <c r="AO4" s="20">
        <f t="shared" si="8"/>
        <v>53955.575626014535</v>
      </c>
      <c r="AP4" s="21">
        <f t="shared" si="2"/>
        <v>493030.4151805393</v>
      </c>
      <c r="AQ4" s="21">
        <f t="shared" si="3"/>
        <v>563932.45125790557</v>
      </c>
      <c r="AR4" s="21">
        <f t="shared" si="4"/>
        <v>640072.18735511089</v>
      </c>
      <c r="AS4" s="22">
        <f t="shared" si="5"/>
        <v>1697035.0537935558</v>
      </c>
      <c r="AT4" s="21">
        <f t="shared" ref="AT4:AV4" si="9">AP4/12</f>
        <v>41085.867931711611</v>
      </c>
      <c r="AU4" s="21">
        <f t="shared" si="9"/>
        <v>46994.370938158798</v>
      </c>
      <c r="AV4" s="21">
        <f t="shared" si="9"/>
        <v>53339.348946259241</v>
      </c>
      <c r="AW4" s="22">
        <f t="shared" si="7"/>
        <v>141419.58781612964</v>
      </c>
    </row>
    <row r="5" spans="1:49" ht="13.5" customHeight="1" x14ac:dyDescent="0.3">
      <c r="A5" s="17"/>
      <c r="B5" s="10"/>
      <c r="C5" s="18" t="s">
        <v>11</v>
      </c>
      <c r="D5" s="19"/>
      <c r="E5" s="13"/>
      <c r="F5" s="20">
        <f t="shared" ref="F5:AO5" si="10">(F39*F34)</f>
        <v>6000</v>
      </c>
      <c r="G5" s="20">
        <f t="shared" si="10"/>
        <v>9000</v>
      </c>
      <c r="H5" s="20">
        <f t="shared" si="10"/>
        <v>13500</v>
      </c>
      <c r="I5" s="20">
        <f t="shared" si="10"/>
        <v>20250</v>
      </c>
      <c r="J5" s="20">
        <f t="shared" si="10"/>
        <v>20250</v>
      </c>
      <c r="K5" s="20">
        <f t="shared" si="10"/>
        <v>20250</v>
      </c>
      <c r="L5" s="20">
        <f t="shared" si="10"/>
        <v>20250</v>
      </c>
      <c r="M5" s="20">
        <f t="shared" si="10"/>
        <v>40500</v>
      </c>
      <c r="N5" s="20">
        <f t="shared" si="10"/>
        <v>44550.000000000007</v>
      </c>
      <c r="O5" s="20">
        <f t="shared" si="10"/>
        <v>49005.000000000015</v>
      </c>
      <c r="P5" s="20">
        <f t="shared" si="10"/>
        <v>107811.00000000001</v>
      </c>
      <c r="Q5" s="20">
        <f t="shared" si="10"/>
        <v>118592.10000000003</v>
      </c>
      <c r="R5" s="20">
        <f t="shared" si="10"/>
        <v>136973.87550000005</v>
      </c>
      <c r="S5" s="20">
        <f t="shared" si="10"/>
        <v>150671.2630500001</v>
      </c>
      <c r="T5" s="20">
        <f t="shared" si="10"/>
        <v>165738.38935500008</v>
      </c>
      <c r="U5" s="20">
        <f t="shared" si="10"/>
        <v>182312.22829050012</v>
      </c>
      <c r="V5" s="20">
        <f t="shared" si="10"/>
        <v>182312.22829050012</v>
      </c>
      <c r="W5" s="20">
        <f t="shared" si="10"/>
        <v>182312.22829050012</v>
      </c>
      <c r="X5" s="20">
        <f t="shared" si="10"/>
        <v>182312.22829050012</v>
      </c>
      <c r="Y5" s="20">
        <f t="shared" si="10"/>
        <v>182312.22829050012</v>
      </c>
      <c r="Z5" s="20">
        <f t="shared" si="10"/>
        <v>182312.22829050012</v>
      </c>
      <c r="AA5" s="20">
        <f t="shared" si="10"/>
        <v>182312.22829050012</v>
      </c>
      <c r="AB5" s="20">
        <f t="shared" si="10"/>
        <v>182312.22829050012</v>
      </c>
      <c r="AC5" s="20">
        <f t="shared" si="10"/>
        <v>182312.22829050012</v>
      </c>
      <c r="AD5" s="20">
        <f t="shared" si="10"/>
        <v>182312.22829050012</v>
      </c>
      <c r="AE5" s="20">
        <f t="shared" si="10"/>
        <v>182312.22829050012</v>
      </c>
      <c r="AF5" s="20">
        <f t="shared" si="10"/>
        <v>182312.22829050012</v>
      </c>
      <c r="AG5" s="20">
        <f t="shared" si="10"/>
        <v>182312.22829050012</v>
      </c>
      <c r="AH5" s="20">
        <f t="shared" si="10"/>
        <v>182312.22829050012</v>
      </c>
      <c r="AI5" s="20">
        <f t="shared" si="10"/>
        <v>182312.22829050012</v>
      </c>
      <c r="AJ5" s="20">
        <f t="shared" si="10"/>
        <v>182312.22829050012</v>
      </c>
      <c r="AK5" s="20">
        <f t="shared" si="10"/>
        <v>182312.22829050012</v>
      </c>
      <c r="AL5" s="20">
        <f t="shared" si="10"/>
        <v>182312.22829050012</v>
      </c>
      <c r="AM5" s="20">
        <f t="shared" si="10"/>
        <v>191427.83970502514</v>
      </c>
      <c r="AN5" s="20">
        <f t="shared" si="10"/>
        <v>191427.83970502514</v>
      </c>
      <c r="AO5" s="20">
        <f t="shared" si="10"/>
        <v>191427.83970502514</v>
      </c>
      <c r="AP5" s="21">
        <f t="shared" si="2"/>
        <v>469958.10000000003</v>
      </c>
      <c r="AQ5" s="21">
        <f t="shared" si="3"/>
        <v>2094193.5825195014</v>
      </c>
      <c r="AR5" s="21">
        <f t="shared" si="4"/>
        <v>2215093.5737295765</v>
      </c>
      <c r="AS5" s="22">
        <f t="shared" si="5"/>
        <v>4779245.2562490776</v>
      </c>
      <c r="AT5" s="21">
        <f t="shared" ref="AT5:AV5" si="11">AP5/12</f>
        <v>39163.175000000003</v>
      </c>
      <c r="AU5" s="21">
        <f t="shared" si="11"/>
        <v>174516.13187662512</v>
      </c>
      <c r="AV5" s="21">
        <f t="shared" si="11"/>
        <v>184591.13114413139</v>
      </c>
      <c r="AW5" s="22">
        <f t="shared" si="7"/>
        <v>398270.43802075647</v>
      </c>
    </row>
    <row r="6" spans="1:49" ht="13.5" customHeight="1" x14ac:dyDescent="0.3">
      <c r="A6" s="17"/>
      <c r="B6" s="10"/>
      <c r="C6" s="18" t="s">
        <v>12</v>
      </c>
      <c r="D6" s="19"/>
      <c r="E6" s="13"/>
      <c r="F6" s="20">
        <f t="shared" ref="F6:AO6" si="12">F34*F46</f>
        <v>4800</v>
      </c>
      <c r="G6" s="20">
        <f t="shared" si="12"/>
        <v>6360.0000000000009</v>
      </c>
      <c r="H6" s="20">
        <f t="shared" si="12"/>
        <v>6996</v>
      </c>
      <c r="I6" s="20">
        <f t="shared" si="12"/>
        <v>7695.6000000000013</v>
      </c>
      <c r="J6" s="20">
        <f t="shared" si="12"/>
        <v>8465.1600000000017</v>
      </c>
      <c r="K6" s="20">
        <f t="shared" si="12"/>
        <v>9311.6760000000031</v>
      </c>
      <c r="L6" s="20">
        <f t="shared" si="12"/>
        <v>10242.843600000006</v>
      </c>
      <c r="M6" s="20">
        <f t="shared" si="12"/>
        <v>11267.127960000007</v>
      </c>
      <c r="N6" s="20">
        <f t="shared" si="12"/>
        <v>12393.840756000011</v>
      </c>
      <c r="O6" s="20">
        <f t="shared" si="12"/>
        <v>13633.22483160001</v>
      </c>
      <c r="P6" s="20">
        <f t="shared" si="12"/>
        <v>14996.547314760015</v>
      </c>
      <c r="Q6" s="20">
        <f t="shared" si="12"/>
        <v>16496.202046236016</v>
      </c>
      <c r="R6" s="20">
        <f t="shared" si="12"/>
        <v>19053.113363402601</v>
      </c>
      <c r="S6" s="20">
        <f t="shared" si="12"/>
        <v>20958.424699742864</v>
      </c>
      <c r="T6" s="20">
        <f t="shared" si="12"/>
        <v>23054.26716971715</v>
      </c>
      <c r="U6" s="20">
        <f t="shared" si="12"/>
        <v>25359.693886688863</v>
      </c>
      <c r="V6" s="20">
        <f t="shared" si="12"/>
        <v>25359.693886688863</v>
      </c>
      <c r="W6" s="20">
        <f t="shared" si="12"/>
        <v>25359.693886688863</v>
      </c>
      <c r="X6" s="20">
        <f t="shared" si="12"/>
        <v>25359.693886688863</v>
      </c>
      <c r="Y6" s="20">
        <f t="shared" si="12"/>
        <v>25359.693886688863</v>
      </c>
      <c r="Z6" s="20">
        <f t="shared" si="12"/>
        <v>25359.693886688863</v>
      </c>
      <c r="AA6" s="20">
        <f t="shared" si="12"/>
        <v>25359.693886688863</v>
      </c>
      <c r="AB6" s="20">
        <f t="shared" si="12"/>
        <v>25359.693886688863</v>
      </c>
      <c r="AC6" s="20">
        <f t="shared" si="12"/>
        <v>25359.693886688863</v>
      </c>
      <c r="AD6" s="20">
        <f t="shared" si="12"/>
        <v>25359.693886688863</v>
      </c>
      <c r="AE6" s="20">
        <f t="shared" si="12"/>
        <v>25359.693886688863</v>
      </c>
      <c r="AF6" s="20">
        <f t="shared" si="12"/>
        <v>25359.693886688863</v>
      </c>
      <c r="AG6" s="20">
        <f t="shared" si="12"/>
        <v>25359.693886688863</v>
      </c>
      <c r="AH6" s="20">
        <f t="shared" si="12"/>
        <v>25359.693886688863</v>
      </c>
      <c r="AI6" s="20">
        <f t="shared" si="12"/>
        <v>25359.693886688863</v>
      </c>
      <c r="AJ6" s="20">
        <f t="shared" si="12"/>
        <v>25359.693886688863</v>
      </c>
      <c r="AK6" s="20">
        <f t="shared" si="12"/>
        <v>25359.693886688863</v>
      </c>
      <c r="AL6" s="20">
        <f t="shared" si="12"/>
        <v>25359.693886688863</v>
      </c>
      <c r="AM6" s="20">
        <f t="shared" si="12"/>
        <v>26627.678581023309</v>
      </c>
      <c r="AN6" s="20">
        <f t="shared" si="12"/>
        <v>26627.678581023309</v>
      </c>
      <c r="AO6" s="20">
        <f t="shared" si="12"/>
        <v>26627.678581023309</v>
      </c>
      <c r="AP6" s="21">
        <f t="shared" si="2"/>
        <v>122658.22250859605</v>
      </c>
      <c r="AQ6" s="21">
        <f t="shared" si="3"/>
        <v>291303.05021306232</v>
      </c>
      <c r="AR6" s="21">
        <f t="shared" si="4"/>
        <v>308120.28072326962</v>
      </c>
      <c r="AS6" s="22">
        <f t="shared" si="5"/>
        <v>722081.55344492802</v>
      </c>
      <c r="AT6" s="21">
        <f t="shared" ref="AT6:AV6" si="13">AP6/12</f>
        <v>10221.518542383004</v>
      </c>
      <c r="AU6" s="21">
        <f t="shared" si="13"/>
        <v>24275.254184421861</v>
      </c>
      <c r="AV6" s="21">
        <f t="shared" si="13"/>
        <v>25676.690060272467</v>
      </c>
      <c r="AW6" s="22">
        <f t="shared" si="7"/>
        <v>60173.462787077326</v>
      </c>
    </row>
    <row r="7" spans="1:49" ht="13.5" customHeight="1" x14ac:dyDescent="0.3">
      <c r="A7" s="9"/>
      <c r="B7" s="10" t="s">
        <v>13</v>
      </c>
      <c r="C7" s="11"/>
      <c r="D7" s="12"/>
      <c r="E7" s="23"/>
      <c r="F7" s="14">
        <f t="shared" ref="F7:AO7" si="14">SUM(F8:F9)</f>
        <v>8833.2000000000007</v>
      </c>
      <c r="G7" s="14">
        <f t="shared" si="14"/>
        <v>11768.939999999999</v>
      </c>
      <c r="H7" s="14">
        <f t="shared" si="14"/>
        <v>13134.188999999998</v>
      </c>
      <c r="I7" s="14">
        <f t="shared" si="14"/>
        <v>14920.9635</v>
      </c>
      <c r="J7" s="14">
        <f t="shared" si="14"/>
        <v>15176.280650999997</v>
      </c>
      <c r="K7" s="14">
        <f t="shared" si="14"/>
        <v>15449.145850110001</v>
      </c>
      <c r="L7" s="14">
        <f t="shared" si="14"/>
        <v>15741.234065471099</v>
      </c>
      <c r="M7" s="14">
        <f t="shared" si="14"/>
        <v>20438.511963671815</v>
      </c>
      <c r="N7" s="14">
        <f t="shared" si="14"/>
        <v>21651.579571609131</v>
      </c>
      <c r="O7" s="14">
        <f t="shared" si="14"/>
        <v>22977.646104455882</v>
      </c>
      <c r="P7" s="14">
        <f t="shared" si="14"/>
        <v>36098.469126344178</v>
      </c>
      <c r="Q7" s="14">
        <f t="shared" si="14"/>
        <v>38852.358877035716</v>
      </c>
      <c r="R7" s="14">
        <f t="shared" si="14"/>
        <v>43889.886000863626</v>
      </c>
      <c r="S7" s="14">
        <f t="shared" si="14"/>
        <v>47267.870309756312</v>
      </c>
      <c r="T7" s="14">
        <f t="shared" si="14"/>
        <v>50983.653049538232</v>
      </c>
      <c r="U7" s="14">
        <f t="shared" si="14"/>
        <v>55071.014063298368</v>
      </c>
      <c r="V7" s="14">
        <f t="shared" si="14"/>
        <v>55071.014063298368</v>
      </c>
      <c r="W7" s="14">
        <f t="shared" si="14"/>
        <v>55071.014063298368</v>
      </c>
      <c r="X7" s="14">
        <f t="shared" si="14"/>
        <v>55071.014063298368</v>
      </c>
      <c r="Y7" s="14">
        <f t="shared" si="14"/>
        <v>55071.014063298368</v>
      </c>
      <c r="Z7" s="14">
        <f t="shared" si="14"/>
        <v>55071.014063298368</v>
      </c>
      <c r="AA7" s="14">
        <f t="shared" si="14"/>
        <v>55071.014063298368</v>
      </c>
      <c r="AB7" s="14">
        <f t="shared" si="14"/>
        <v>55071.014063298368</v>
      </c>
      <c r="AC7" s="14">
        <f t="shared" si="14"/>
        <v>55841.874817391421</v>
      </c>
      <c r="AD7" s="14">
        <f t="shared" si="14"/>
        <v>55841.874817391421</v>
      </c>
      <c r="AE7" s="14">
        <f t="shared" si="14"/>
        <v>55841.874817391421</v>
      </c>
      <c r="AF7" s="14">
        <f t="shared" si="14"/>
        <v>56642.353274393558</v>
      </c>
      <c r="AG7" s="14">
        <f t="shared" si="14"/>
        <v>56642.353274393558</v>
      </c>
      <c r="AH7" s="14">
        <f t="shared" si="14"/>
        <v>56642.353274393558</v>
      </c>
      <c r="AI7" s="14">
        <f t="shared" si="14"/>
        <v>56642.353274393558</v>
      </c>
      <c r="AJ7" s="14">
        <f t="shared" si="14"/>
        <v>56642.353274393558</v>
      </c>
      <c r="AK7" s="14">
        <f t="shared" si="14"/>
        <v>56642.353274393558</v>
      </c>
      <c r="AL7" s="14">
        <f t="shared" si="14"/>
        <v>56642.353274393558</v>
      </c>
      <c r="AM7" s="14">
        <f t="shared" si="14"/>
        <v>58890.40183196163</v>
      </c>
      <c r="AN7" s="14">
        <f t="shared" si="14"/>
        <v>58890.40183196163</v>
      </c>
      <c r="AO7" s="14">
        <f t="shared" si="14"/>
        <v>58890.40183196163</v>
      </c>
      <c r="AP7" s="15">
        <f t="shared" si="2"/>
        <v>235042.51870969782</v>
      </c>
      <c r="AQ7" s="15">
        <f t="shared" si="3"/>
        <v>638551.39668393647</v>
      </c>
      <c r="AR7" s="15">
        <f t="shared" si="4"/>
        <v>684851.42805142247</v>
      </c>
      <c r="AS7" s="16">
        <f t="shared" si="5"/>
        <v>1558445.3434450566</v>
      </c>
      <c r="AT7" s="15">
        <f t="shared" ref="AT7:AV7" si="15">AP7/12</f>
        <v>19586.876559141485</v>
      </c>
      <c r="AU7" s="15">
        <f t="shared" si="15"/>
        <v>53212.616390328039</v>
      </c>
      <c r="AV7" s="15">
        <f t="shared" si="15"/>
        <v>57070.952337618539</v>
      </c>
      <c r="AW7" s="16">
        <f t="shared" si="7"/>
        <v>129870.44528708806</v>
      </c>
    </row>
    <row r="8" spans="1:49" ht="13.5" customHeight="1" x14ac:dyDescent="0.3">
      <c r="A8" s="17"/>
      <c r="B8" s="10"/>
      <c r="C8" s="18" t="s">
        <v>14</v>
      </c>
      <c r="D8" s="19"/>
      <c r="E8" s="24">
        <v>0.18</v>
      </c>
      <c r="F8" s="20">
        <f t="shared" ref="F8:AO8" si="16">F3*$E$8</f>
        <v>7344</v>
      </c>
      <c r="G8" s="20">
        <f t="shared" si="16"/>
        <v>9784.7999999999993</v>
      </c>
      <c r="H8" s="20">
        <f t="shared" si="16"/>
        <v>10919.88</v>
      </c>
      <c r="I8" s="20">
        <f t="shared" si="16"/>
        <v>12405.42</v>
      </c>
      <c r="J8" s="20">
        <f t="shared" si="16"/>
        <v>12617.692919999998</v>
      </c>
      <c r="K8" s="20">
        <f t="shared" si="16"/>
        <v>12844.5554412</v>
      </c>
      <c r="L8" s="20">
        <f t="shared" si="16"/>
        <v>13087.400146811999</v>
      </c>
      <c r="M8" s="20">
        <f t="shared" si="16"/>
        <v>16992.758214600122</v>
      </c>
      <c r="N8" s="20">
        <f t="shared" si="16"/>
        <v>18001.313269698123</v>
      </c>
      <c r="O8" s="20">
        <f t="shared" si="16"/>
        <v>19103.816622642305</v>
      </c>
      <c r="P8" s="20">
        <f t="shared" si="16"/>
        <v>30012.584031140654</v>
      </c>
      <c r="Q8" s="20">
        <f t="shared" si="16"/>
        <v>32302.192137951173</v>
      </c>
      <c r="R8" s="20">
        <f t="shared" si="16"/>
        <v>36490.436397946665</v>
      </c>
      <c r="S8" s="20">
        <f t="shared" si="16"/>
        <v>39298.922197487926</v>
      </c>
      <c r="T8" s="20">
        <f t="shared" si="16"/>
        <v>42388.256576983287</v>
      </c>
      <c r="U8" s="20">
        <f t="shared" si="16"/>
        <v>45786.524394428205</v>
      </c>
      <c r="V8" s="20">
        <f t="shared" si="16"/>
        <v>45786.524394428205</v>
      </c>
      <c r="W8" s="20">
        <f t="shared" si="16"/>
        <v>45786.524394428205</v>
      </c>
      <c r="X8" s="20">
        <f t="shared" si="16"/>
        <v>45786.524394428205</v>
      </c>
      <c r="Y8" s="20">
        <f t="shared" si="16"/>
        <v>45786.524394428205</v>
      </c>
      <c r="Z8" s="20">
        <f t="shared" si="16"/>
        <v>45786.524394428205</v>
      </c>
      <c r="AA8" s="20">
        <f t="shared" si="16"/>
        <v>45786.524394428205</v>
      </c>
      <c r="AB8" s="20">
        <f t="shared" si="16"/>
        <v>45786.524394428205</v>
      </c>
      <c r="AC8" s="20">
        <f t="shared" si="16"/>
        <v>46427.424790440906</v>
      </c>
      <c r="AD8" s="20">
        <f t="shared" si="16"/>
        <v>46427.424790440906</v>
      </c>
      <c r="AE8" s="20">
        <f t="shared" si="16"/>
        <v>46427.424790440906</v>
      </c>
      <c r="AF8" s="20">
        <f t="shared" si="16"/>
        <v>47092.949604576628</v>
      </c>
      <c r="AG8" s="20">
        <f t="shared" si="16"/>
        <v>47092.949604576628</v>
      </c>
      <c r="AH8" s="20">
        <f t="shared" si="16"/>
        <v>47092.949604576628</v>
      </c>
      <c r="AI8" s="20">
        <f t="shared" si="16"/>
        <v>47092.949604576628</v>
      </c>
      <c r="AJ8" s="20">
        <f t="shared" si="16"/>
        <v>47092.949604576628</v>
      </c>
      <c r="AK8" s="20">
        <f t="shared" si="16"/>
        <v>47092.949604576628</v>
      </c>
      <c r="AL8" s="20">
        <f t="shared" si="16"/>
        <v>47092.949604576628</v>
      </c>
      <c r="AM8" s="20">
        <f t="shared" si="16"/>
        <v>48961.996904171334</v>
      </c>
      <c r="AN8" s="20">
        <f t="shared" si="16"/>
        <v>48961.996904171334</v>
      </c>
      <c r="AO8" s="20">
        <f t="shared" si="16"/>
        <v>48961.996904171334</v>
      </c>
      <c r="AP8" s="21">
        <f t="shared" si="2"/>
        <v>195416.41278404437</v>
      </c>
      <c r="AQ8" s="21">
        <f t="shared" si="3"/>
        <v>530897.23511828436</v>
      </c>
      <c r="AR8" s="21">
        <f t="shared" si="4"/>
        <v>569391.48752543214</v>
      </c>
      <c r="AS8" s="22">
        <f t="shared" si="5"/>
        <v>1295705.1354277609</v>
      </c>
      <c r="AT8" s="21">
        <f t="shared" ref="AT8:AV8" si="17">AP8/12</f>
        <v>16284.701065337031</v>
      </c>
      <c r="AU8" s="21">
        <f t="shared" si="17"/>
        <v>44241.43625985703</v>
      </c>
      <c r="AV8" s="21">
        <f t="shared" si="17"/>
        <v>47449.290627119342</v>
      </c>
      <c r="AW8" s="22">
        <f t="shared" si="7"/>
        <v>107975.4279523134</v>
      </c>
    </row>
    <row r="9" spans="1:49" ht="13.5" customHeight="1" x14ac:dyDescent="0.3">
      <c r="A9" s="17"/>
      <c r="B9" s="10"/>
      <c r="C9" s="18" t="s">
        <v>15</v>
      </c>
      <c r="D9" s="19"/>
      <c r="E9" s="25">
        <f>0.65%+3%</f>
        <v>3.6499999999999998E-2</v>
      </c>
      <c r="F9" s="20">
        <f t="shared" ref="F9:AO9" si="18">F3*$E$9</f>
        <v>1489.1999999999998</v>
      </c>
      <c r="G9" s="20">
        <f t="shared" si="18"/>
        <v>1984.1399999999999</v>
      </c>
      <c r="H9" s="20">
        <f t="shared" si="18"/>
        <v>2214.3089999999997</v>
      </c>
      <c r="I9" s="20">
        <f t="shared" si="18"/>
        <v>2515.5434999999998</v>
      </c>
      <c r="J9" s="20">
        <f t="shared" si="18"/>
        <v>2558.5877309999996</v>
      </c>
      <c r="K9" s="20">
        <f t="shared" si="18"/>
        <v>2604.59040891</v>
      </c>
      <c r="L9" s="20">
        <f t="shared" si="18"/>
        <v>2653.8339186590997</v>
      </c>
      <c r="M9" s="20">
        <f t="shared" si="18"/>
        <v>3445.7537490716913</v>
      </c>
      <c r="N9" s="20">
        <f t="shared" si="18"/>
        <v>3650.2663019110087</v>
      </c>
      <c r="O9" s="20">
        <f t="shared" si="18"/>
        <v>3873.8294818135782</v>
      </c>
      <c r="P9" s="20">
        <f t="shared" si="18"/>
        <v>6085.8850952035209</v>
      </c>
      <c r="Q9" s="20">
        <f t="shared" si="18"/>
        <v>6550.1667390845432</v>
      </c>
      <c r="R9" s="20">
        <f t="shared" si="18"/>
        <v>7399.4496029169632</v>
      </c>
      <c r="S9" s="20">
        <f t="shared" si="18"/>
        <v>7968.9481122683846</v>
      </c>
      <c r="T9" s="20">
        <f t="shared" si="18"/>
        <v>8595.3964725549449</v>
      </c>
      <c r="U9" s="20">
        <f t="shared" si="18"/>
        <v>9284.4896688701629</v>
      </c>
      <c r="V9" s="20">
        <f t="shared" si="18"/>
        <v>9284.4896688701629</v>
      </c>
      <c r="W9" s="20">
        <f t="shared" si="18"/>
        <v>9284.4896688701629</v>
      </c>
      <c r="X9" s="20">
        <f t="shared" si="18"/>
        <v>9284.4896688701629</v>
      </c>
      <c r="Y9" s="20">
        <f t="shared" si="18"/>
        <v>9284.4896688701629</v>
      </c>
      <c r="Z9" s="20">
        <f t="shared" si="18"/>
        <v>9284.4896688701629</v>
      </c>
      <c r="AA9" s="20">
        <f t="shared" si="18"/>
        <v>9284.4896688701629</v>
      </c>
      <c r="AB9" s="20">
        <f t="shared" si="18"/>
        <v>9284.4896688701629</v>
      </c>
      <c r="AC9" s="20">
        <f t="shared" si="18"/>
        <v>9414.450026950517</v>
      </c>
      <c r="AD9" s="20">
        <f t="shared" si="18"/>
        <v>9414.450026950517</v>
      </c>
      <c r="AE9" s="20">
        <f t="shared" si="18"/>
        <v>9414.450026950517</v>
      </c>
      <c r="AF9" s="20">
        <f t="shared" si="18"/>
        <v>9549.4036698169275</v>
      </c>
      <c r="AG9" s="20">
        <f t="shared" si="18"/>
        <v>9549.4036698169275</v>
      </c>
      <c r="AH9" s="20">
        <f t="shared" si="18"/>
        <v>9549.4036698169275</v>
      </c>
      <c r="AI9" s="20">
        <f t="shared" si="18"/>
        <v>9549.4036698169275</v>
      </c>
      <c r="AJ9" s="20">
        <f t="shared" si="18"/>
        <v>9549.4036698169275</v>
      </c>
      <c r="AK9" s="20">
        <f t="shared" si="18"/>
        <v>9549.4036698169275</v>
      </c>
      <c r="AL9" s="20">
        <f t="shared" si="18"/>
        <v>9549.4036698169275</v>
      </c>
      <c r="AM9" s="20">
        <f t="shared" si="18"/>
        <v>9928.4049277902977</v>
      </c>
      <c r="AN9" s="20">
        <f t="shared" si="18"/>
        <v>9928.4049277902977</v>
      </c>
      <c r="AO9" s="20">
        <f t="shared" si="18"/>
        <v>9928.4049277902977</v>
      </c>
      <c r="AP9" s="21">
        <f t="shared" si="2"/>
        <v>39626.105925653435</v>
      </c>
      <c r="AQ9" s="21">
        <f t="shared" si="3"/>
        <v>107654.16156565213</v>
      </c>
      <c r="AR9" s="21">
        <f t="shared" si="4"/>
        <v>115459.9405259904</v>
      </c>
      <c r="AS9" s="22">
        <f t="shared" si="5"/>
        <v>262740.20801729598</v>
      </c>
      <c r="AT9" s="21">
        <f t="shared" ref="AT9:AV9" si="19">AP9/12</f>
        <v>3302.1754938044528</v>
      </c>
      <c r="AU9" s="21">
        <f t="shared" si="19"/>
        <v>8971.1801304710116</v>
      </c>
      <c r="AV9" s="21">
        <f t="shared" si="19"/>
        <v>9621.6617104992001</v>
      </c>
      <c r="AW9" s="22">
        <f t="shared" si="7"/>
        <v>21895.017334774664</v>
      </c>
    </row>
    <row r="10" spans="1:49" ht="13.5" customHeight="1" x14ac:dyDescent="0.3">
      <c r="A10" s="9"/>
      <c r="B10" s="10" t="s">
        <v>16</v>
      </c>
      <c r="C10" s="11"/>
      <c r="D10" s="12"/>
      <c r="E10" s="23"/>
      <c r="F10" s="14">
        <f t="shared" ref="F10:AO10" si="20">F3-F7</f>
        <v>31966.799999999999</v>
      </c>
      <c r="G10" s="14">
        <f t="shared" si="20"/>
        <v>42591.06</v>
      </c>
      <c r="H10" s="14">
        <f t="shared" si="20"/>
        <v>47531.811000000002</v>
      </c>
      <c r="I10" s="14">
        <f t="shared" si="20"/>
        <v>53998.036500000002</v>
      </c>
      <c r="J10" s="14">
        <f t="shared" si="20"/>
        <v>54922.013349000001</v>
      </c>
      <c r="K10" s="14">
        <f t="shared" si="20"/>
        <v>55909.495489890003</v>
      </c>
      <c r="L10" s="14">
        <f t="shared" si="20"/>
        <v>56966.544527928898</v>
      </c>
      <c r="M10" s="14">
        <f t="shared" si="20"/>
        <v>73965.700339662202</v>
      </c>
      <c r="N10" s="14">
        <f t="shared" si="20"/>
        <v>78355.716371158225</v>
      </c>
      <c r="O10" s="14">
        <f t="shared" si="20"/>
        <v>83154.668465779148</v>
      </c>
      <c r="P10" s="14">
        <f t="shared" si="20"/>
        <v>130638.10882443724</v>
      </c>
      <c r="Q10" s="14">
        <f t="shared" si="20"/>
        <v>140604.2641115819</v>
      </c>
      <c r="R10" s="14">
        <f t="shared" si="20"/>
        <v>158834.76065439565</v>
      </c>
      <c r="S10" s="14">
        <f t="shared" si="20"/>
        <v>171059.47523184327</v>
      </c>
      <c r="T10" s="14">
        <f t="shared" si="20"/>
        <v>184506.66126703561</v>
      </c>
      <c r="U10" s="14">
        <f t="shared" si="20"/>
        <v>199298.56590574724</v>
      </c>
      <c r="V10" s="14">
        <f t="shared" si="20"/>
        <v>199298.56590574724</v>
      </c>
      <c r="W10" s="14">
        <f t="shared" si="20"/>
        <v>199298.56590574724</v>
      </c>
      <c r="X10" s="14">
        <f t="shared" si="20"/>
        <v>199298.56590574724</v>
      </c>
      <c r="Y10" s="14">
        <f t="shared" si="20"/>
        <v>199298.56590574724</v>
      </c>
      <c r="Z10" s="14">
        <f t="shared" si="20"/>
        <v>199298.56590574724</v>
      </c>
      <c r="AA10" s="14">
        <f t="shared" si="20"/>
        <v>199298.56590574724</v>
      </c>
      <c r="AB10" s="14">
        <f t="shared" si="20"/>
        <v>199298.56590574724</v>
      </c>
      <c r="AC10" s="14">
        <f t="shared" si="20"/>
        <v>202088.2629072803</v>
      </c>
      <c r="AD10" s="14">
        <f t="shared" si="20"/>
        <v>202088.2629072803</v>
      </c>
      <c r="AE10" s="14">
        <f t="shared" si="20"/>
        <v>202088.2629072803</v>
      </c>
      <c r="AF10" s="14">
        <f t="shared" si="20"/>
        <v>204985.14452880993</v>
      </c>
      <c r="AG10" s="14">
        <f t="shared" si="20"/>
        <v>204985.14452880993</v>
      </c>
      <c r="AH10" s="14">
        <f t="shared" si="20"/>
        <v>204985.14452880993</v>
      </c>
      <c r="AI10" s="14">
        <f t="shared" si="20"/>
        <v>204985.14452880993</v>
      </c>
      <c r="AJ10" s="14">
        <f t="shared" si="20"/>
        <v>204985.14452880993</v>
      </c>
      <c r="AK10" s="14">
        <f t="shared" si="20"/>
        <v>204985.14452880993</v>
      </c>
      <c r="AL10" s="14">
        <f t="shared" si="20"/>
        <v>204985.14452880993</v>
      </c>
      <c r="AM10" s="14">
        <f t="shared" si="20"/>
        <v>213120.69208010135</v>
      </c>
      <c r="AN10" s="14">
        <f t="shared" si="20"/>
        <v>213120.69208010135</v>
      </c>
      <c r="AO10" s="14">
        <f t="shared" si="20"/>
        <v>213120.69208010135</v>
      </c>
      <c r="AP10" s="15">
        <f t="shared" si="2"/>
        <v>850604.2189794376</v>
      </c>
      <c r="AQ10" s="15">
        <f t="shared" si="3"/>
        <v>2310877.6873065322</v>
      </c>
      <c r="AR10" s="15">
        <f t="shared" si="4"/>
        <v>2478434.6137565346</v>
      </c>
      <c r="AS10" s="16">
        <f t="shared" si="5"/>
        <v>5639916.5200425042</v>
      </c>
      <c r="AT10" s="15">
        <f t="shared" ref="AT10:AV10" si="21">AP10/12</f>
        <v>70883.684914953134</v>
      </c>
      <c r="AU10" s="15">
        <f t="shared" si="21"/>
        <v>192573.14060887767</v>
      </c>
      <c r="AV10" s="15">
        <f t="shared" si="21"/>
        <v>206536.21781304455</v>
      </c>
      <c r="AW10" s="16">
        <f t="shared" si="7"/>
        <v>469993.04333687539</v>
      </c>
    </row>
    <row r="11" spans="1:49" ht="13.5" customHeight="1" x14ac:dyDescent="0.3">
      <c r="A11" s="9"/>
      <c r="B11" s="26" t="s">
        <v>17</v>
      </c>
      <c r="C11" s="9"/>
      <c r="D11" s="27"/>
      <c r="E11" s="28"/>
      <c r="F11" s="14">
        <f t="shared" ref="F11:AO11" si="22">F12</f>
        <v>28560</v>
      </c>
      <c r="G11" s="14">
        <f t="shared" si="22"/>
        <v>38052</v>
      </c>
      <c r="H11" s="14">
        <f t="shared" si="22"/>
        <v>42466.2</v>
      </c>
      <c r="I11" s="14">
        <f t="shared" si="22"/>
        <v>48243.299999999996</v>
      </c>
      <c r="J11" s="14">
        <f t="shared" si="22"/>
        <v>49068.805799999995</v>
      </c>
      <c r="K11" s="14">
        <f t="shared" si="22"/>
        <v>49951.048938</v>
      </c>
      <c r="L11" s="14">
        <f t="shared" si="22"/>
        <v>50895.445015379999</v>
      </c>
      <c r="M11" s="14">
        <f t="shared" si="22"/>
        <v>66082.948612333814</v>
      </c>
      <c r="N11" s="14">
        <f t="shared" si="22"/>
        <v>70005.10715993715</v>
      </c>
      <c r="O11" s="14">
        <f t="shared" si="22"/>
        <v>74292.620199164521</v>
      </c>
      <c r="P11" s="14">
        <f t="shared" si="22"/>
        <v>116715.60456554698</v>
      </c>
      <c r="Q11" s="14">
        <f t="shared" si="22"/>
        <v>125619.63609203234</v>
      </c>
      <c r="R11" s="14">
        <f t="shared" si="22"/>
        <v>141907.25265868148</v>
      </c>
      <c r="S11" s="14">
        <f t="shared" si="22"/>
        <v>152829.14187911971</v>
      </c>
      <c r="T11" s="14">
        <f t="shared" si="22"/>
        <v>164843.22002160168</v>
      </c>
      <c r="U11" s="14">
        <f t="shared" si="22"/>
        <v>178058.70597833191</v>
      </c>
      <c r="V11" s="14">
        <f t="shared" si="22"/>
        <v>178058.70597833191</v>
      </c>
      <c r="W11" s="14">
        <f t="shared" si="22"/>
        <v>178058.70597833191</v>
      </c>
      <c r="X11" s="14">
        <f t="shared" si="22"/>
        <v>178058.70597833191</v>
      </c>
      <c r="Y11" s="14">
        <f t="shared" si="22"/>
        <v>178058.70597833191</v>
      </c>
      <c r="Z11" s="14">
        <f t="shared" si="22"/>
        <v>178058.70597833191</v>
      </c>
      <c r="AA11" s="14">
        <f t="shared" si="22"/>
        <v>178058.70597833191</v>
      </c>
      <c r="AB11" s="14">
        <f t="shared" si="22"/>
        <v>178058.70597833191</v>
      </c>
      <c r="AC11" s="14">
        <f t="shared" si="22"/>
        <v>180551.0964072702</v>
      </c>
      <c r="AD11" s="14">
        <f t="shared" si="22"/>
        <v>180551.0964072702</v>
      </c>
      <c r="AE11" s="14">
        <f t="shared" si="22"/>
        <v>180551.0964072702</v>
      </c>
      <c r="AF11" s="14">
        <f t="shared" si="22"/>
        <v>183139.24846224245</v>
      </c>
      <c r="AG11" s="14">
        <f t="shared" si="22"/>
        <v>183139.24846224245</v>
      </c>
      <c r="AH11" s="14">
        <f t="shared" si="22"/>
        <v>183139.24846224245</v>
      </c>
      <c r="AI11" s="14">
        <f t="shared" si="22"/>
        <v>183139.24846224245</v>
      </c>
      <c r="AJ11" s="14">
        <f t="shared" si="22"/>
        <v>183139.24846224245</v>
      </c>
      <c r="AK11" s="14">
        <f t="shared" si="22"/>
        <v>183139.24846224245</v>
      </c>
      <c r="AL11" s="14">
        <f t="shared" si="22"/>
        <v>183139.24846224245</v>
      </c>
      <c r="AM11" s="14">
        <f t="shared" si="22"/>
        <v>190407.76573844408</v>
      </c>
      <c r="AN11" s="14">
        <f t="shared" si="22"/>
        <v>190407.76573844408</v>
      </c>
      <c r="AO11" s="14">
        <f t="shared" si="22"/>
        <v>190407.76573844408</v>
      </c>
      <c r="AP11" s="15">
        <f t="shared" si="2"/>
        <v>759952.71638239478</v>
      </c>
      <c r="AQ11" s="15">
        <f t="shared" si="3"/>
        <v>2064600.3587933281</v>
      </c>
      <c r="AR11" s="15">
        <f t="shared" si="4"/>
        <v>2214300.2292655702</v>
      </c>
      <c r="AS11" s="16">
        <f t="shared" si="5"/>
        <v>5038853.3044412937</v>
      </c>
      <c r="AT11" s="15">
        <f t="shared" ref="AT11:AV11" si="23">AP11/12</f>
        <v>63329.393031866231</v>
      </c>
      <c r="AU11" s="15">
        <f t="shared" si="23"/>
        <v>172050.02989944399</v>
      </c>
      <c r="AV11" s="15">
        <f t="shared" si="23"/>
        <v>184525.01910546419</v>
      </c>
      <c r="AW11" s="16">
        <f t="shared" si="7"/>
        <v>419904.44203677442</v>
      </c>
    </row>
    <row r="12" spans="1:49" ht="13.5" customHeight="1" x14ac:dyDescent="0.3">
      <c r="A12" s="29"/>
      <c r="B12" s="10"/>
      <c r="C12" s="18" t="s">
        <v>53</v>
      </c>
      <c r="D12" s="19"/>
      <c r="E12" s="30">
        <v>0.7</v>
      </c>
      <c r="F12" s="20">
        <f t="shared" ref="F12:AO12" si="24">F3*$E$12</f>
        <v>28560</v>
      </c>
      <c r="G12" s="20">
        <f t="shared" si="24"/>
        <v>38052</v>
      </c>
      <c r="H12" s="20">
        <f t="shared" si="24"/>
        <v>42466.2</v>
      </c>
      <c r="I12" s="20">
        <f t="shared" si="24"/>
        <v>48243.299999999996</v>
      </c>
      <c r="J12" s="20">
        <f t="shared" si="24"/>
        <v>49068.805799999995</v>
      </c>
      <c r="K12" s="20">
        <f t="shared" si="24"/>
        <v>49951.048938</v>
      </c>
      <c r="L12" s="20">
        <f t="shared" si="24"/>
        <v>50895.445015379999</v>
      </c>
      <c r="M12" s="20">
        <f t="shared" si="24"/>
        <v>66082.948612333814</v>
      </c>
      <c r="N12" s="20">
        <f t="shared" si="24"/>
        <v>70005.10715993715</v>
      </c>
      <c r="O12" s="20">
        <f t="shared" si="24"/>
        <v>74292.620199164521</v>
      </c>
      <c r="P12" s="20">
        <f t="shared" si="24"/>
        <v>116715.60456554698</v>
      </c>
      <c r="Q12" s="20">
        <f t="shared" si="24"/>
        <v>125619.63609203234</v>
      </c>
      <c r="R12" s="20">
        <f t="shared" si="24"/>
        <v>141907.25265868148</v>
      </c>
      <c r="S12" s="20">
        <f t="shared" si="24"/>
        <v>152829.14187911971</v>
      </c>
      <c r="T12" s="20">
        <f t="shared" si="24"/>
        <v>164843.22002160168</v>
      </c>
      <c r="U12" s="20">
        <f t="shared" si="24"/>
        <v>178058.70597833191</v>
      </c>
      <c r="V12" s="20">
        <f t="shared" si="24"/>
        <v>178058.70597833191</v>
      </c>
      <c r="W12" s="20">
        <f t="shared" si="24"/>
        <v>178058.70597833191</v>
      </c>
      <c r="X12" s="20">
        <f t="shared" si="24"/>
        <v>178058.70597833191</v>
      </c>
      <c r="Y12" s="20">
        <f t="shared" si="24"/>
        <v>178058.70597833191</v>
      </c>
      <c r="Z12" s="20">
        <f t="shared" si="24"/>
        <v>178058.70597833191</v>
      </c>
      <c r="AA12" s="20">
        <f t="shared" si="24"/>
        <v>178058.70597833191</v>
      </c>
      <c r="AB12" s="20">
        <f t="shared" si="24"/>
        <v>178058.70597833191</v>
      </c>
      <c r="AC12" s="20">
        <f t="shared" si="24"/>
        <v>180551.0964072702</v>
      </c>
      <c r="AD12" s="20">
        <f t="shared" si="24"/>
        <v>180551.0964072702</v>
      </c>
      <c r="AE12" s="20">
        <f t="shared" si="24"/>
        <v>180551.0964072702</v>
      </c>
      <c r="AF12" s="20">
        <f t="shared" si="24"/>
        <v>183139.24846224245</v>
      </c>
      <c r="AG12" s="20">
        <f t="shared" si="24"/>
        <v>183139.24846224245</v>
      </c>
      <c r="AH12" s="20">
        <f t="shared" si="24"/>
        <v>183139.24846224245</v>
      </c>
      <c r="AI12" s="20">
        <f t="shared" si="24"/>
        <v>183139.24846224245</v>
      </c>
      <c r="AJ12" s="20">
        <f t="shared" si="24"/>
        <v>183139.24846224245</v>
      </c>
      <c r="AK12" s="20">
        <f t="shared" si="24"/>
        <v>183139.24846224245</v>
      </c>
      <c r="AL12" s="20">
        <f t="shared" si="24"/>
        <v>183139.24846224245</v>
      </c>
      <c r="AM12" s="20">
        <f t="shared" si="24"/>
        <v>190407.76573844408</v>
      </c>
      <c r="AN12" s="20">
        <f t="shared" si="24"/>
        <v>190407.76573844408</v>
      </c>
      <c r="AO12" s="20">
        <f t="shared" si="24"/>
        <v>190407.76573844408</v>
      </c>
      <c r="AP12" s="21">
        <f t="shared" si="2"/>
        <v>759952.71638239478</v>
      </c>
      <c r="AQ12" s="21">
        <f t="shared" si="3"/>
        <v>2064600.3587933281</v>
      </c>
      <c r="AR12" s="21">
        <f t="shared" si="4"/>
        <v>2214300.2292655702</v>
      </c>
      <c r="AS12" s="22">
        <f t="shared" si="5"/>
        <v>5038853.3044412937</v>
      </c>
      <c r="AT12" s="21">
        <f t="shared" ref="AT12:AV12" si="25">AP12/12</f>
        <v>63329.393031866231</v>
      </c>
      <c r="AU12" s="21">
        <f t="shared" si="25"/>
        <v>172050.02989944399</v>
      </c>
      <c r="AV12" s="21">
        <f t="shared" si="25"/>
        <v>184525.01910546419</v>
      </c>
      <c r="AW12" s="22">
        <f t="shared" si="7"/>
        <v>419904.44203677442</v>
      </c>
    </row>
    <row r="13" spans="1:49" ht="13.5" customHeight="1" x14ac:dyDescent="0.3">
      <c r="A13" s="9"/>
      <c r="B13" s="26" t="s">
        <v>18</v>
      </c>
      <c r="C13" s="9"/>
      <c r="D13" s="27"/>
      <c r="E13" s="28"/>
      <c r="F13" s="14">
        <f t="shared" ref="F13:AO13" si="26">F10-F11</f>
        <v>3406.7999999999993</v>
      </c>
      <c r="G13" s="14">
        <f t="shared" si="26"/>
        <v>4539.0599999999977</v>
      </c>
      <c r="H13" s="14">
        <f t="shared" si="26"/>
        <v>5065.6110000000044</v>
      </c>
      <c r="I13" s="14">
        <f t="shared" si="26"/>
        <v>5754.7365000000063</v>
      </c>
      <c r="J13" s="14">
        <f t="shared" si="26"/>
        <v>5853.2075490000061</v>
      </c>
      <c r="K13" s="14">
        <f t="shared" si="26"/>
        <v>5958.4465518900033</v>
      </c>
      <c r="L13" s="14">
        <f t="shared" si="26"/>
        <v>6071.0995125488989</v>
      </c>
      <c r="M13" s="14">
        <f t="shared" si="26"/>
        <v>7882.7517273283884</v>
      </c>
      <c r="N13" s="14">
        <f t="shared" si="26"/>
        <v>8350.6092112210754</v>
      </c>
      <c r="O13" s="14">
        <f t="shared" si="26"/>
        <v>8862.0482666146272</v>
      </c>
      <c r="P13" s="14">
        <f t="shared" si="26"/>
        <v>13922.504258890258</v>
      </c>
      <c r="Q13" s="14">
        <f t="shared" si="26"/>
        <v>14984.628019549564</v>
      </c>
      <c r="R13" s="14">
        <f t="shared" si="26"/>
        <v>16927.507995714172</v>
      </c>
      <c r="S13" s="14">
        <f t="shared" si="26"/>
        <v>18230.333352723566</v>
      </c>
      <c r="T13" s="14">
        <f t="shared" si="26"/>
        <v>19663.441245433933</v>
      </c>
      <c r="U13" s="14">
        <f t="shared" si="26"/>
        <v>21239.859927415324</v>
      </c>
      <c r="V13" s="14">
        <f t="shared" si="26"/>
        <v>21239.859927415324</v>
      </c>
      <c r="W13" s="14">
        <f t="shared" si="26"/>
        <v>21239.859927415324</v>
      </c>
      <c r="X13" s="14">
        <f t="shared" si="26"/>
        <v>21239.859927415324</v>
      </c>
      <c r="Y13" s="14">
        <f t="shared" si="26"/>
        <v>21239.859927415324</v>
      </c>
      <c r="Z13" s="14">
        <f t="shared" si="26"/>
        <v>21239.859927415324</v>
      </c>
      <c r="AA13" s="14">
        <f t="shared" si="26"/>
        <v>21239.859927415324</v>
      </c>
      <c r="AB13" s="14">
        <f t="shared" si="26"/>
        <v>21239.859927415324</v>
      </c>
      <c r="AC13" s="14">
        <f t="shared" si="26"/>
        <v>21537.166500010091</v>
      </c>
      <c r="AD13" s="14">
        <f t="shared" si="26"/>
        <v>21537.166500010091</v>
      </c>
      <c r="AE13" s="14">
        <f t="shared" si="26"/>
        <v>21537.166500010091</v>
      </c>
      <c r="AF13" s="14">
        <f t="shared" si="26"/>
        <v>21845.896066567482</v>
      </c>
      <c r="AG13" s="14">
        <f t="shared" si="26"/>
        <v>21845.896066567482</v>
      </c>
      <c r="AH13" s="14">
        <f t="shared" si="26"/>
        <v>21845.896066567482</v>
      </c>
      <c r="AI13" s="14">
        <f t="shared" si="26"/>
        <v>21845.896066567482</v>
      </c>
      <c r="AJ13" s="14">
        <f t="shared" si="26"/>
        <v>21845.896066567482</v>
      </c>
      <c r="AK13" s="14">
        <f t="shared" si="26"/>
        <v>21845.896066567482</v>
      </c>
      <c r="AL13" s="14">
        <f t="shared" si="26"/>
        <v>21845.896066567482</v>
      </c>
      <c r="AM13" s="14">
        <f t="shared" si="26"/>
        <v>22712.926341657265</v>
      </c>
      <c r="AN13" s="14">
        <f t="shared" si="26"/>
        <v>22712.926341657265</v>
      </c>
      <c r="AO13" s="14">
        <f t="shared" si="26"/>
        <v>22712.926341657265</v>
      </c>
      <c r="AP13" s="15">
        <f t="shared" si="2"/>
        <v>90651.502597042825</v>
      </c>
      <c r="AQ13" s="15">
        <f t="shared" si="3"/>
        <v>246277.32851320435</v>
      </c>
      <c r="AR13" s="15">
        <f t="shared" si="4"/>
        <v>264134.38449096435</v>
      </c>
      <c r="AS13" s="16">
        <f t="shared" si="5"/>
        <v>601063.21560121153</v>
      </c>
      <c r="AT13" s="15">
        <f t="shared" ref="AT13:AV13" si="27">AP13/12</f>
        <v>7554.2918830869021</v>
      </c>
      <c r="AU13" s="15">
        <f t="shared" si="27"/>
        <v>20523.110709433695</v>
      </c>
      <c r="AV13" s="15">
        <f t="shared" si="27"/>
        <v>22011.198707580363</v>
      </c>
      <c r="AW13" s="16">
        <f t="shared" si="7"/>
        <v>50088.601300100956</v>
      </c>
    </row>
    <row r="14" spans="1:49" ht="13.5" customHeight="1" x14ac:dyDescent="0.3">
      <c r="A14" s="9"/>
      <c r="B14" s="10" t="s">
        <v>19</v>
      </c>
      <c r="C14" s="11"/>
      <c r="D14" s="12"/>
      <c r="E14" s="23"/>
      <c r="F14" s="14">
        <f t="shared" ref="F14:AO14" si="28">SUM(F15,F18,F22,F23,F16,F24,F17,F25)</f>
        <v>14896</v>
      </c>
      <c r="G14" s="14">
        <f t="shared" si="28"/>
        <v>16604.400000000001</v>
      </c>
      <c r="H14" s="14">
        <f t="shared" si="28"/>
        <v>17469.240000000002</v>
      </c>
      <c r="I14" s="14">
        <f t="shared" si="28"/>
        <v>18578.532000000003</v>
      </c>
      <c r="J14" s="14">
        <f t="shared" si="28"/>
        <v>18850.872480000002</v>
      </c>
      <c r="K14" s="14">
        <f t="shared" si="28"/>
        <v>19146.021880800003</v>
      </c>
      <c r="L14" s="14">
        <f t="shared" si="28"/>
        <v>19466.216843208</v>
      </c>
      <c r="M14" s="14">
        <f t="shared" si="28"/>
        <v>22243.917229600083</v>
      </c>
      <c r="N14" s="14">
        <f t="shared" si="28"/>
        <v>23107.828441652087</v>
      </c>
      <c r="O14" s="14">
        <f t="shared" si="28"/>
        <v>24053.525969800205</v>
      </c>
      <c r="P14" s="14">
        <f t="shared" si="28"/>
        <v>31558.851066864692</v>
      </c>
      <c r="Q14" s="14">
        <f t="shared" si="28"/>
        <v>33530.998451323503</v>
      </c>
      <c r="R14" s="14">
        <f t="shared" si="28"/>
        <v>37471.856570238444</v>
      </c>
      <c r="S14" s="14">
        <f t="shared" si="28"/>
        <v>39902.123847072231</v>
      </c>
      <c r="T14" s="14">
        <f t="shared" si="28"/>
        <v>42575.41785158938</v>
      </c>
      <c r="U14" s="14">
        <f t="shared" si="28"/>
        <v>45516.041256558259</v>
      </c>
      <c r="V14" s="14">
        <f t="shared" si="28"/>
        <v>45516.041256558259</v>
      </c>
      <c r="W14" s="14">
        <f t="shared" si="28"/>
        <v>45516.041256558259</v>
      </c>
      <c r="X14" s="14">
        <f t="shared" si="28"/>
        <v>45516.041256558259</v>
      </c>
      <c r="Y14" s="14">
        <f t="shared" si="28"/>
        <v>45516.041256558259</v>
      </c>
      <c r="Z14" s="14">
        <f t="shared" si="28"/>
        <v>45516.041256558259</v>
      </c>
      <c r="AA14" s="14">
        <f t="shared" si="28"/>
        <v>45516.041256558259</v>
      </c>
      <c r="AB14" s="14">
        <f t="shared" si="28"/>
        <v>45516.041256558259</v>
      </c>
      <c r="AC14" s="14">
        <f t="shared" si="28"/>
        <v>46478.216553567785</v>
      </c>
      <c r="AD14" s="14">
        <f t="shared" si="28"/>
        <v>46533.216553567785</v>
      </c>
      <c r="AE14" s="14">
        <f t="shared" si="28"/>
        <v>46533.216553567785</v>
      </c>
      <c r="AF14" s="14">
        <f t="shared" si="28"/>
        <v>47532.360164169579</v>
      </c>
      <c r="AG14" s="14">
        <f t="shared" si="28"/>
        <v>47532.360164169579</v>
      </c>
      <c r="AH14" s="14">
        <f t="shared" si="28"/>
        <v>47532.360164169579</v>
      </c>
      <c r="AI14" s="14">
        <f t="shared" si="28"/>
        <v>47532.360164169579</v>
      </c>
      <c r="AJ14" s="14">
        <f t="shared" si="28"/>
        <v>47532.360164169579</v>
      </c>
      <c r="AK14" s="14">
        <f t="shared" si="28"/>
        <v>47532.360164169579</v>
      </c>
      <c r="AL14" s="14">
        <f t="shared" si="28"/>
        <v>47532.360164169579</v>
      </c>
      <c r="AM14" s="14">
        <f t="shared" si="28"/>
        <v>49149.703036902465</v>
      </c>
      <c r="AN14" s="14">
        <f t="shared" si="28"/>
        <v>49149.703036902465</v>
      </c>
      <c r="AO14" s="14">
        <f t="shared" si="28"/>
        <v>49149.703036902465</v>
      </c>
      <c r="AP14" s="15">
        <f t="shared" si="2"/>
        <v>259506.40436324858</v>
      </c>
      <c r="AQ14" s="15">
        <f t="shared" si="3"/>
        <v>530555.94487493392</v>
      </c>
      <c r="AR14" s="15">
        <f t="shared" si="4"/>
        <v>573242.06336703</v>
      </c>
      <c r="AS14" s="16">
        <f t="shared" si="5"/>
        <v>1363304.4126052125</v>
      </c>
      <c r="AT14" s="15">
        <f t="shared" ref="AT14:AV14" si="29">AP14/12</f>
        <v>21625.533696937382</v>
      </c>
      <c r="AU14" s="15">
        <f t="shared" si="29"/>
        <v>44212.995406244496</v>
      </c>
      <c r="AV14" s="15">
        <f t="shared" si="29"/>
        <v>47770.1719472525</v>
      </c>
      <c r="AW14" s="16">
        <f t="shared" si="7"/>
        <v>113608.70105043438</v>
      </c>
    </row>
    <row r="15" spans="1:49" ht="13.5" customHeight="1" x14ac:dyDescent="0.3">
      <c r="A15" s="17"/>
      <c r="B15" s="31"/>
      <c r="C15" s="32" t="s">
        <v>20</v>
      </c>
      <c r="D15" s="33"/>
      <c r="E15" s="34">
        <v>0.02</v>
      </c>
      <c r="F15" s="20">
        <f t="shared" ref="F15:AO15" si="30">IF($E$15*F3&lt;1000,1000,($E$15*F3))</f>
        <v>1000</v>
      </c>
      <c r="G15" s="20">
        <f t="shared" si="30"/>
        <v>1087.2</v>
      </c>
      <c r="H15" s="20">
        <f t="shared" si="30"/>
        <v>1213.32</v>
      </c>
      <c r="I15" s="20">
        <f t="shared" si="30"/>
        <v>1378.38</v>
      </c>
      <c r="J15" s="20">
        <f t="shared" si="30"/>
        <v>1401.96588</v>
      </c>
      <c r="K15" s="20">
        <f t="shared" si="30"/>
        <v>1427.1728268000002</v>
      </c>
      <c r="L15" s="20">
        <f t="shared" si="30"/>
        <v>1454.1555718679999</v>
      </c>
      <c r="M15" s="20">
        <f t="shared" si="30"/>
        <v>1888.0842460666804</v>
      </c>
      <c r="N15" s="20">
        <f t="shared" si="30"/>
        <v>2000.1459188553474</v>
      </c>
      <c r="O15" s="20">
        <f t="shared" si="30"/>
        <v>2122.6462914047006</v>
      </c>
      <c r="P15" s="20">
        <f t="shared" si="30"/>
        <v>3334.7315590156286</v>
      </c>
      <c r="Q15" s="20">
        <f t="shared" si="30"/>
        <v>3589.1324597723528</v>
      </c>
      <c r="R15" s="20">
        <f t="shared" si="30"/>
        <v>4054.4929331051858</v>
      </c>
      <c r="S15" s="20">
        <f t="shared" si="30"/>
        <v>4366.5469108319921</v>
      </c>
      <c r="T15" s="20">
        <f t="shared" si="30"/>
        <v>4709.8062863314772</v>
      </c>
      <c r="U15" s="20">
        <f t="shared" si="30"/>
        <v>5087.3915993809123</v>
      </c>
      <c r="V15" s="20">
        <f t="shared" si="30"/>
        <v>5087.3915993809123</v>
      </c>
      <c r="W15" s="20">
        <f t="shared" si="30"/>
        <v>5087.3915993809123</v>
      </c>
      <c r="X15" s="20">
        <f t="shared" si="30"/>
        <v>5087.3915993809123</v>
      </c>
      <c r="Y15" s="20">
        <f t="shared" si="30"/>
        <v>5087.3915993809123</v>
      </c>
      <c r="Z15" s="20">
        <f t="shared" si="30"/>
        <v>5087.3915993809123</v>
      </c>
      <c r="AA15" s="20">
        <f t="shared" si="30"/>
        <v>5087.3915993809123</v>
      </c>
      <c r="AB15" s="20">
        <f t="shared" si="30"/>
        <v>5087.3915993809123</v>
      </c>
      <c r="AC15" s="20">
        <f t="shared" si="30"/>
        <v>5158.6027544934341</v>
      </c>
      <c r="AD15" s="20">
        <f t="shared" si="30"/>
        <v>5158.6027544934341</v>
      </c>
      <c r="AE15" s="20">
        <f t="shared" si="30"/>
        <v>5158.6027544934341</v>
      </c>
      <c r="AF15" s="20">
        <f t="shared" si="30"/>
        <v>5232.5499560640701</v>
      </c>
      <c r="AG15" s="20">
        <f t="shared" si="30"/>
        <v>5232.5499560640701</v>
      </c>
      <c r="AH15" s="20">
        <f t="shared" si="30"/>
        <v>5232.5499560640701</v>
      </c>
      <c r="AI15" s="20">
        <f t="shared" si="30"/>
        <v>5232.5499560640701</v>
      </c>
      <c r="AJ15" s="20">
        <f t="shared" si="30"/>
        <v>5232.5499560640701</v>
      </c>
      <c r="AK15" s="20">
        <f t="shared" si="30"/>
        <v>5232.5499560640701</v>
      </c>
      <c r="AL15" s="20">
        <f t="shared" si="30"/>
        <v>5232.5499560640701</v>
      </c>
      <c r="AM15" s="20">
        <f t="shared" si="30"/>
        <v>5440.2218782412601</v>
      </c>
      <c r="AN15" s="20">
        <f t="shared" si="30"/>
        <v>5440.2218782412601</v>
      </c>
      <c r="AO15" s="20">
        <f t="shared" si="30"/>
        <v>5440.2218782412601</v>
      </c>
      <c r="AP15" s="21">
        <f t="shared" si="2"/>
        <v>21896.934753782709</v>
      </c>
      <c r="AQ15" s="21">
        <f t="shared" si="3"/>
        <v>58988.581679809395</v>
      </c>
      <c r="AR15" s="21">
        <f t="shared" si="4"/>
        <v>63265.720836159133</v>
      </c>
      <c r="AS15" s="22">
        <f t="shared" si="5"/>
        <v>144151.23726975123</v>
      </c>
      <c r="AT15" s="21">
        <f t="shared" ref="AT15:AV15" si="31">AP15/12</f>
        <v>1824.7445628152257</v>
      </c>
      <c r="AU15" s="21">
        <f t="shared" si="31"/>
        <v>4915.7151399841159</v>
      </c>
      <c r="AV15" s="21">
        <f t="shared" si="31"/>
        <v>5272.1434030132614</v>
      </c>
      <c r="AW15" s="22">
        <f t="shared" si="7"/>
        <v>12012.603105812603</v>
      </c>
    </row>
    <row r="16" spans="1:49" ht="13.5" customHeight="1" x14ac:dyDescent="0.3">
      <c r="A16" s="17"/>
      <c r="B16" s="35"/>
      <c r="C16" s="36" t="s">
        <v>21</v>
      </c>
      <c r="D16" s="37"/>
      <c r="E16" s="34">
        <v>1.4999999999999999E-2</v>
      </c>
      <c r="F16" s="20">
        <f>IF($E$16*F3&lt;2500,2500,($E$16*F3))</f>
        <v>2500</v>
      </c>
      <c r="G16" s="20">
        <f t="shared" ref="G16:AO16" si="32">IF($E$16*G3&lt;2500,2500,($E$16*G3))</f>
        <v>2500</v>
      </c>
      <c r="H16" s="20">
        <f t="shared" si="32"/>
        <v>2500</v>
      </c>
      <c r="I16" s="20">
        <f t="shared" si="32"/>
        <v>2500</v>
      </c>
      <c r="J16" s="20">
        <f t="shared" si="32"/>
        <v>2500</v>
      </c>
      <c r="K16" s="20">
        <f t="shared" si="32"/>
        <v>2500</v>
      </c>
      <c r="L16" s="20">
        <f t="shared" si="32"/>
        <v>2500</v>
      </c>
      <c r="M16" s="20">
        <f t="shared" si="32"/>
        <v>2500</v>
      </c>
      <c r="N16" s="20">
        <f t="shared" si="32"/>
        <v>2500</v>
      </c>
      <c r="O16" s="20">
        <f t="shared" si="32"/>
        <v>2500</v>
      </c>
      <c r="P16" s="20">
        <f t="shared" si="32"/>
        <v>2501.048669261721</v>
      </c>
      <c r="Q16" s="20">
        <f t="shared" si="32"/>
        <v>2691.8493448292643</v>
      </c>
      <c r="R16" s="20">
        <f t="shared" si="32"/>
        <v>3040.8696998288892</v>
      </c>
      <c r="S16" s="20">
        <f t="shared" si="32"/>
        <v>3274.9101831239936</v>
      </c>
      <c r="T16" s="20">
        <f t="shared" si="32"/>
        <v>3532.3547147486074</v>
      </c>
      <c r="U16" s="20">
        <f t="shared" si="32"/>
        <v>3815.5436995356836</v>
      </c>
      <c r="V16" s="20">
        <f t="shared" si="32"/>
        <v>3815.5436995356836</v>
      </c>
      <c r="W16" s="20">
        <f t="shared" si="32"/>
        <v>3815.5436995356836</v>
      </c>
      <c r="X16" s="20">
        <f t="shared" si="32"/>
        <v>3815.5436995356836</v>
      </c>
      <c r="Y16" s="20">
        <f t="shared" si="32"/>
        <v>3815.5436995356836</v>
      </c>
      <c r="Z16" s="20">
        <f t="shared" si="32"/>
        <v>3815.5436995356836</v>
      </c>
      <c r="AA16" s="20">
        <f t="shared" si="32"/>
        <v>3815.5436995356836</v>
      </c>
      <c r="AB16" s="20">
        <f t="shared" si="32"/>
        <v>3815.5436995356836</v>
      </c>
      <c r="AC16" s="20">
        <f t="shared" si="32"/>
        <v>3868.9520658700758</v>
      </c>
      <c r="AD16" s="20">
        <f t="shared" si="32"/>
        <v>3868.9520658700758</v>
      </c>
      <c r="AE16" s="20">
        <f t="shared" si="32"/>
        <v>3868.9520658700758</v>
      </c>
      <c r="AF16" s="20">
        <f t="shared" si="32"/>
        <v>3924.4124670480523</v>
      </c>
      <c r="AG16" s="20">
        <f t="shared" si="32"/>
        <v>3924.4124670480523</v>
      </c>
      <c r="AH16" s="20">
        <f t="shared" si="32"/>
        <v>3924.4124670480523</v>
      </c>
      <c r="AI16" s="20">
        <f t="shared" si="32"/>
        <v>3924.4124670480523</v>
      </c>
      <c r="AJ16" s="20">
        <f t="shared" si="32"/>
        <v>3924.4124670480523</v>
      </c>
      <c r="AK16" s="20">
        <f t="shared" si="32"/>
        <v>3924.4124670480523</v>
      </c>
      <c r="AL16" s="20">
        <f t="shared" si="32"/>
        <v>3924.4124670480523</v>
      </c>
      <c r="AM16" s="20">
        <f t="shared" si="32"/>
        <v>4080.1664086809446</v>
      </c>
      <c r="AN16" s="20">
        <f t="shared" si="32"/>
        <v>4080.1664086809446</v>
      </c>
      <c r="AO16" s="20">
        <f t="shared" si="32"/>
        <v>4080.1664086809446</v>
      </c>
      <c r="AP16" s="21">
        <f t="shared" si="2"/>
        <v>30192.898014090984</v>
      </c>
      <c r="AQ16" s="21">
        <f t="shared" si="3"/>
        <v>44241.436259857037</v>
      </c>
      <c r="AR16" s="21">
        <f t="shared" si="4"/>
        <v>47449.290627119357</v>
      </c>
      <c r="AS16" s="22">
        <f t="shared" si="5"/>
        <v>121883.62490106738</v>
      </c>
      <c r="AT16" s="21">
        <f t="shared" ref="AT16:AV16" si="33">AP16/12</f>
        <v>2516.0748345075822</v>
      </c>
      <c r="AU16" s="21">
        <f t="shared" si="33"/>
        <v>3686.7863549880863</v>
      </c>
      <c r="AV16" s="21">
        <f t="shared" si="33"/>
        <v>3954.1075522599463</v>
      </c>
      <c r="AW16" s="22">
        <f t="shared" si="7"/>
        <v>10156.968741755614</v>
      </c>
    </row>
    <row r="17" spans="1:49" ht="13.5" customHeight="1" x14ac:dyDescent="0.3">
      <c r="A17" s="17"/>
      <c r="B17" s="35"/>
      <c r="C17" s="36" t="s">
        <v>22</v>
      </c>
      <c r="D17" s="37"/>
      <c r="E17" s="38">
        <v>500</v>
      </c>
      <c r="F17" s="20">
        <f t="shared" ref="F17:Q17" si="34">E17</f>
        <v>500</v>
      </c>
      <c r="G17" s="20">
        <f t="shared" si="34"/>
        <v>500</v>
      </c>
      <c r="H17" s="20">
        <f t="shared" si="34"/>
        <v>500</v>
      </c>
      <c r="I17" s="20">
        <f t="shared" si="34"/>
        <v>500</v>
      </c>
      <c r="J17" s="20">
        <f t="shared" si="34"/>
        <v>500</v>
      </c>
      <c r="K17" s="20">
        <f t="shared" si="34"/>
        <v>500</v>
      </c>
      <c r="L17" s="20">
        <f t="shared" si="34"/>
        <v>500</v>
      </c>
      <c r="M17" s="20">
        <f t="shared" si="34"/>
        <v>500</v>
      </c>
      <c r="N17" s="20">
        <f t="shared" si="34"/>
        <v>500</v>
      </c>
      <c r="O17" s="20">
        <f t="shared" si="34"/>
        <v>500</v>
      </c>
      <c r="P17" s="20">
        <f t="shared" si="34"/>
        <v>500</v>
      </c>
      <c r="Q17" s="20">
        <f t="shared" si="34"/>
        <v>500</v>
      </c>
      <c r="R17" s="20">
        <f>Q17*1.1</f>
        <v>550</v>
      </c>
      <c r="S17" s="20">
        <f t="shared" ref="S17:AC17" si="35">R17</f>
        <v>550</v>
      </c>
      <c r="T17" s="20">
        <f t="shared" si="35"/>
        <v>550</v>
      </c>
      <c r="U17" s="20">
        <f t="shared" si="35"/>
        <v>550</v>
      </c>
      <c r="V17" s="20">
        <f t="shared" si="35"/>
        <v>550</v>
      </c>
      <c r="W17" s="20">
        <f t="shared" si="35"/>
        <v>550</v>
      </c>
      <c r="X17" s="20">
        <f t="shared" si="35"/>
        <v>550</v>
      </c>
      <c r="Y17" s="20">
        <f t="shared" si="35"/>
        <v>550</v>
      </c>
      <c r="Z17" s="20">
        <f t="shared" si="35"/>
        <v>550</v>
      </c>
      <c r="AA17" s="20">
        <f t="shared" si="35"/>
        <v>550</v>
      </c>
      <c r="AB17" s="20">
        <f t="shared" si="35"/>
        <v>550</v>
      </c>
      <c r="AC17" s="20">
        <f t="shared" si="35"/>
        <v>550</v>
      </c>
      <c r="AD17" s="20">
        <f>AC17*1.1</f>
        <v>605</v>
      </c>
      <c r="AE17" s="20">
        <f t="shared" ref="AE17:AO17" si="36">AD17</f>
        <v>605</v>
      </c>
      <c r="AF17" s="20">
        <f t="shared" si="36"/>
        <v>605</v>
      </c>
      <c r="AG17" s="20">
        <f t="shared" si="36"/>
        <v>605</v>
      </c>
      <c r="AH17" s="20">
        <f t="shared" si="36"/>
        <v>605</v>
      </c>
      <c r="AI17" s="20">
        <f t="shared" si="36"/>
        <v>605</v>
      </c>
      <c r="AJ17" s="20">
        <f t="shared" si="36"/>
        <v>605</v>
      </c>
      <c r="AK17" s="20">
        <f t="shared" si="36"/>
        <v>605</v>
      </c>
      <c r="AL17" s="20">
        <f t="shared" si="36"/>
        <v>605</v>
      </c>
      <c r="AM17" s="20">
        <f t="shared" si="36"/>
        <v>605</v>
      </c>
      <c r="AN17" s="20">
        <f t="shared" si="36"/>
        <v>605</v>
      </c>
      <c r="AO17" s="20">
        <f t="shared" si="36"/>
        <v>605</v>
      </c>
      <c r="AP17" s="21">
        <f t="shared" si="2"/>
        <v>6000</v>
      </c>
      <c r="AQ17" s="21">
        <f t="shared" si="3"/>
        <v>6600</v>
      </c>
      <c r="AR17" s="21">
        <f t="shared" si="4"/>
        <v>7260</v>
      </c>
      <c r="AS17" s="22">
        <f t="shared" si="5"/>
        <v>19860</v>
      </c>
      <c r="AT17" s="21">
        <f t="shared" ref="AT17:AV17" si="37">AP17/12</f>
        <v>500</v>
      </c>
      <c r="AU17" s="21">
        <f t="shared" si="37"/>
        <v>550</v>
      </c>
      <c r="AV17" s="21">
        <f t="shared" si="37"/>
        <v>605</v>
      </c>
      <c r="AW17" s="22">
        <f t="shared" si="7"/>
        <v>1655</v>
      </c>
    </row>
    <row r="18" spans="1:49" ht="13.5" customHeight="1" x14ac:dyDescent="0.3">
      <c r="A18" s="29"/>
      <c r="B18" s="10" t="s">
        <v>23</v>
      </c>
      <c r="C18" s="39" t="s">
        <v>24</v>
      </c>
      <c r="D18" s="40"/>
      <c r="E18" s="41"/>
      <c r="F18" s="42">
        <f t="shared" ref="F18:AO18" si="38">SUM(F19:F21)</f>
        <v>6000</v>
      </c>
      <c r="G18" s="42">
        <f t="shared" si="38"/>
        <v>6000</v>
      </c>
      <c r="H18" s="42">
        <f t="shared" si="38"/>
        <v>6000</v>
      </c>
      <c r="I18" s="42">
        <f t="shared" si="38"/>
        <v>6000</v>
      </c>
      <c r="J18" s="42">
        <f t="shared" si="38"/>
        <v>6000</v>
      </c>
      <c r="K18" s="42">
        <f t="shared" si="38"/>
        <v>6000</v>
      </c>
      <c r="L18" s="42">
        <f t="shared" si="38"/>
        <v>6000</v>
      </c>
      <c r="M18" s="42">
        <f t="shared" si="38"/>
        <v>6000</v>
      </c>
      <c r="N18" s="42">
        <f t="shared" si="38"/>
        <v>6000</v>
      </c>
      <c r="O18" s="42">
        <f t="shared" si="38"/>
        <v>6000</v>
      </c>
      <c r="P18" s="42">
        <f t="shared" si="38"/>
        <v>6000</v>
      </c>
      <c r="Q18" s="42">
        <f t="shared" si="38"/>
        <v>6000</v>
      </c>
      <c r="R18" s="42">
        <f t="shared" si="38"/>
        <v>6315</v>
      </c>
      <c r="S18" s="42">
        <f t="shared" si="38"/>
        <v>6315</v>
      </c>
      <c r="T18" s="42">
        <f t="shared" si="38"/>
        <v>6315</v>
      </c>
      <c r="U18" s="42">
        <f t="shared" si="38"/>
        <v>6315</v>
      </c>
      <c r="V18" s="42">
        <f t="shared" si="38"/>
        <v>6315</v>
      </c>
      <c r="W18" s="42">
        <f t="shared" si="38"/>
        <v>6315</v>
      </c>
      <c r="X18" s="42">
        <f t="shared" si="38"/>
        <v>6315</v>
      </c>
      <c r="Y18" s="42">
        <f t="shared" si="38"/>
        <v>6315</v>
      </c>
      <c r="Z18" s="42">
        <f t="shared" si="38"/>
        <v>6315</v>
      </c>
      <c r="AA18" s="42">
        <f t="shared" si="38"/>
        <v>6315</v>
      </c>
      <c r="AB18" s="42">
        <f t="shared" si="38"/>
        <v>6315</v>
      </c>
      <c r="AC18" s="42">
        <f t="shared" si="38"/>
        <v>6796.5</v>
      </c>
      <c r="AD18" s="42">
        <f t="shared" si="38"/>
        <v>6796.5</v>
      </c>
      <c r="AE18" s="42">
        <f t="shared" si="38"/>
        <v>6796.5</v>
      </c>
      <c r="AF18" s="42">
        <f t="shared" si="38"/>
        <v>7296.5</v>
      </c>
      <c r="AG18" s="42">
        <f t="shared" si="38"/>
        <v>7296.5</v>
      </c>
      <c r="AH18" s="42">
        <f t="shared" si="38"/>
        <v>7296.5</v>
      </c>
      <c r="AI18" s="42">
        <f t="shared" si="38"/>
        <v>7296.5</v>
      </c>
      <c r="AJ18" s="42">
        <f t="shared" si="38"/>
        <v>7296.5</v>
      </c>
      <c r="AK18" s="42">
        <f t="shared" si="38"/>
        <v>7296.5</v>
      </c>
      <c r="AL18" s="42">
        <f t="shared" si="38"/>
        <v>7296.5</v>
      </c>
      <c r="AM18" s="42">
        <f t="shared" si="38"/>
        <v>7296.5</v>
      </c>
      <c r="AN18" s="42">
        <f t="shared" si="38"/>
        <v>7296.5</v>
      </c>
      <c r="AO18" s="42">
        <f t="shared" si="38"/>
        <v>7296.5</v>
      </c>
      <c r="AP18" s="43">
        <f t="shared" si="2"/>
        <v>72000</v>
      </c>
      <c r="AQ18" s="43">
        <f t="shared" si="3"/>
        <v>76261.5</v>
      </c>
      <c r="AR18" s="43">
        <f t="shared" si="4"/>
        <v>86558</v>
      </c>
      <c r="AS18" s="44">
        <f t="shared" si="5"/>
        <v>234819.5</v>
      </c>
      <c r="AT18" s="43">
        <f t="shared" ref="AT18:AV18" si="39">AP18/12</f>
        <v>6000</v>
      </c>
      <c r="AU18" s="43">
        <f t="shared" si="39"/>
        <v>6355.125</v>
      </c>
      <c r="AV18" s="43">
        <f t="shared" si="39"/>
        <v>7213.166666666667</v>
      </c>
      <c r="AW18" s="44">
        <f t="shared" si="7"/>
        <v>19568.291666666668</v>
      </c>
    </row>
    <row r="19" spans="1:49" ht="13.5" customHeight="1" x14ac:dyDescent="0.3">
      <c r="A19" s="29"/>
      <c r="B19" s="10"/>
      <c r="C19" s="45"/>
      <c r="D19" s="46" t="s">
        <v>25</v>
      </c>
      <c r="E19" s="47"/>
      <c r="F19" s="20">
        <v>1000</v>
      </c>
      <c r="G19" s="20">
        <f>F19</f>
        <v>1000</v>
      </c>
      <c r="H19" s="20">
        <f>G19</f>
        <v>1000</v>
      </c>
      <c r="I19" s="20">
        <f t="shared" ref="I19:AE20" si="40">H19</f>
        <v>1000</v>
      </c>
      <c r="J19" s="20">
        <f t="shared" si="40"/>
        <v>1000</v>
      </c>
      <c r="K19" s="20">
        <f t="shared" si="40"/>
        <v>1000</v>
      </c>
      <c r="L19" s="20">
        <f t="shared" si="40"/>
        <v>1000</v>
      </c>
      <c r="M19" s="20">
        <f t="shared" si="40"/>
        <v>1000</v>
      </c>
      <c r="N19" s="20">
        <f t="shared" si="40"/>
        <v>1000</v>
      </c>
      <c r="O19" s="20">
        <f t="shared" si="40"/>
        <v>1000</v>
      </c>
      <c r="P19" s="20">
        <f t="shared" si="40"/>
        <v>1000</v>
      </c>
      <c r="Q19" s="20">
        <f t="shared" si="40"/>
        <v>1000</v>
      </c>
      <c r="R19" s="20">
        <f t="shared" si="40"/>
        <v>1000</v>
      </c>
      <c r="S19" s="20">
        <f t="shared" si="40"/>
        <v>1000</v>
      </c>
      <c r="T19" s="20">
        <f t="shared" si="40"/>
        <v>1000</v>
      </c>
      <c r="U19" s="20">
        <f t="shared" si="40"/>
        <v>1000</v>
      </c>
      <c r="V19" s="20">
        <f t="shared" si="40"/>
        <v>1000</v>
      </c>
      <c r="W19" s="20">
        <f t="shared" si="40"/>
        <v>1000</v>
      </c>
      <c r="X19" s="20">
        <f t="shared" si="40"/>
        <v>1000</v>
      </c>
      <c r="Y19" s="20">
        <f t="shared" si="40"/>
        <v>1000</v>
      </c>
      <c r="Z19" s="20">
        <f t="shared" si="40"/>
        <v>1000</v>
      </c>
      <c r="AA19" s="20">
        <f t="shared" si="40"/>
        <v>1000</v>
      </c>
      <c r="AB19" s="20">
        <f t="shared" si="40"/>
        <v>1000</v>
      </c>
      <c r="AC19" s="20">
        <f t="shared" si="40"/>
        <v>1000</v>
      </c>
      <c r="AD19" s="20">
        <f t="shared" si="40"/>
        <v>1000</v>
      </c>
      <c r="AE19" s="20">
        <f t="shared" si="40"/>
        <v>1000</v>
      </c>
      <c r="AF19" s="20">
        <v>1500</v>
      </c>
      <c r="AG19" s="20">
        <v>1500</v>
      </c>
      <c r="AH19" s="20">
        <v>1500</v>
      </c>
      <c r="AI19" s="20">
        <v>1500</v>
      </c>
      <c r="AJ19" s="20">
        <v>1500</v>
      </c>
      <c r="AK19" s="20">
        <v>1500</v>
      </c>
      <c r="AL19" s="20">
        <v>1500</v>
      </c>
      <c r="AM19" s="20">
        <v>1500</v>
      </c>
      <c r="AN19" s="20">
        <v>1500</v>
      </c>
      <c r="AO19" s="20">
        <v>1500</v>
      </c>
      <c r="AP19" s="21">
        <f t="shared" si="2"/>
        <v>12000</v>
      </c>
      <c r="AQ19" s="21">
        <f t="shared" si="3"/>
        <v>12000</v>
      </c>
      <c r="AR19" s="21">
        <f t="shared" si="4"/>
        <v>17000</v>
      </c>
      <c r="AS19" s="22">
        <f t="shared" si="5"/>
        <v>41000</v>
      </c>
      <c r="AT19" s="21">
        <f t="shared" ref="AT19:AV19" si="41">AP19/12</f>
        <v>1000</v>
      </c>
      <c r="AU19" s="21">
        <f t="shared" si="41"/>
        <v>1000</v>
      </c>
      <c r="AV19" s="21">
        <f t="shared" si="41"/>
        <v>1416.6666666666667</v>
      </c>
      <c r="AW19" s="22">
        <f t="shared" si="7"/>
        <v>3416.666666666667</v>
      </c>
    </row>
    <row r="20" spans="1:49" ht="13.5" customHeight="1" x14ac:dyDescent="0.3">
      <c r="A20" s="29"/>
      <c r="B20" s="10"/>
      <c r="C20" s="45"/>
      <c r="D20" s="46" t="s">
        <v>26</v>
      </c>
      <c r="E20" s="47"/>
      <c r="F20" s="20">
        <v>4500</v>
      </c>
      <c r="G20" s="20">
        <f>F20</f>
        <v>4500</v>
      </c>
      <c r="H20" s="20">
        <f>G20</f>
        <v>4500</v>
      </c>
      <c r="I20" s="20">
        <f t="shared" si="40"/>
        <v>4500</v>
      </c>
      <c r="J20" s="20">
        <f t="shared" si="40"/>
        <v>4500</v>
      </c>
      <c r="K20" s="20">
        <f t="shared" si="40"/>
        <v>4500</v>
      </c>
      <c r="L20" s="20">
        <f t="shared" si="40"/>
        <v>4500</v>
      </c>
      <c r="M20" s="20">
        <f t="shared" si="40"/>
        <v>4500</v>
      </c>
      <c r="N20" s="20">
        <f t="shared" si="40"/>
        <v>4500</v>
      </c>
      <c r="O20" s="20">
        <f t="shared" si="40"/>
        <v>4500</v>
      </c>
      <c r="P20" s="20">
        <f t="shared" si="40"/>
        <v>4500</v>
      </c>
      <c r="Q20" s="20">
        <f t="shared" si="40"/>
        <v>4500</v>
      </c>
      <c r="R20" s="20">
        <f>Q20*1.07</f>
        <v>4815</v>
      </c>
      <c r="S20" s="20">
        <f>R20</f>
        <v>4815</v>
      </c>
      <c r="T20" s="20">
        <f t="shared" si="40"/>
        <v>4815</v>
      </c>
      <c r="U20" s="20">
        <f t="shared" si="40"/>
        <v>4815</v>
      </c>
      <c r="V20" s="20">
        <f t="shared" si="40"/>
        <v>4815</v>
      </c>
      <c r="W20" s="20">
        <f t="shared" si="40"/>
        <v>4815</v>
      </c>
      <c r="X20" s="20">
        <f t="shared" si="40"/>
        <v>4815</v>
      </c>
      <c r="Y20" s="20">
        <f t="shared" si="40"/>
        <v>4815</v>
      </c>
      <c r="Z20" s="20">
        <f t="shared" si="40"/>
        <v>4815</v>
      </c>
      <c r="AA20" s="20">
        <f t="shared" si="40"/>
        <v>4815</v>
      </c>
      <c r="AB20" s="20">
        <f t="shared" si="40"/>
        <v>4815</v>
      </c>
      <c r="AC20" s="20">
        <f>AB20*1.1</f>
        <v>5296.5</v>
      </c>
      <c r="AD20" s="20">
        <f>AC20</f>
        <v>5296.5</v>
      </c>
      <c r="AE20" s="20">
        <f t="shared" si="40"/>
        <v>5296.5</v>
      </c>
      <c r="AF20" s="20">
        <f t="shared" ref="AF20:AO20" si="42">AE20</f>
        <v>5296.5</v>
      </c>
      <c r="AG20" s="20">
        <f t="shared" si="42"/>
        <v>5296.5</v>
      </c>
      <c r="AH20" s="20">
        <f t="shared" si="42"/>
        <v>5296.5</v>
      </c>
      <c r="AI20" s="20">
        <f t="shared" si="42"/>
        <v>5296.5</v>
      </c>
      <c r="AJ20" s="20">
        <f t="shared" si="42"/>
        <v>5296.5</v>
      </c>
      <c r="AK20" s="20">
        <f t="shared" si="42"/>
        <v>5296.5</v>
      </c>
      <c r="AL20" s="20">
        <f t="shared" si="42"/>
        <v>5296.5</v>
      </c>
      <c r="AM20" s="20">
        <f t="shared" si="42"/>
        <v>5296.5</v>
      </c>
      <c r="AN20" s="20">
        <f t="shared" si="42"/>
        <v>5296.5</v>
      </c>
      <c r="AO20" s="20">
        <f t="shared" si="42"/>
        <v>5296.5</v>
      </c>
      <c r="AP20" s="21">
        <f t="shared" si="2"/>
        <v>54000</v>
      </c>
      <c r="AQ20" s="21">
        <f t="shared" si="3"/>
        <v>58261.5</v>
      </c>
      <c r="AR20" s="21">
        <f t="shared" si="4"/>
        <v>63558</v>
      </c>
      <c r="AS20" s="22">
        <f t="shared" si="5"/>
        <v>175819.5</v>
      </c>
      <c r="AT20" s="21">
        <f t="shared" ref="AT20:AV20" si="43">AP20/12</f>
        <v>4500</v>
      </c>
      <c r="AU20" s="21">
        <f t="shared" si="43"/>
        <v>4855.125</v>
      </c>
      <c r="AV20" s="21">
        <f t="shared" si="43"/>
        <v>5296.5</v>
      </c>
      <c r="AW20" s="22">
        <f t="shared" si="7"/>
        <v>14651.625</v>
      </c>
    </row>
    <row r="21" spans="1:49" ht="13.5" customHeight="1" x14ac:dyDescent="0.3">
      <c r="A21" s="29"/>
      <c r="B21" s="10"/>
      <c r="C21" s="45"/>
      <c r="D21" s="46" t="s">
        <v>27</v>
      </c>
      <c r="E21" s="48"/>
      <c r="F21" s="20">
        <v>500</v>
      </c>
      <c r="G21" s="20">
        <v>500</v>
      </c>
      <c r="H21" s="20">
        <v>500</v>
      </c>
      <c r="I21" s="20">
        <v>500</v>
      </c>
      <c r="J21" s="20">
        <v>500</v>
      </c>
      <c r="K21" s="20">
        <v>500</v>
      </c>
      <c r="L21" s="20">
        <v>500</v>
      </c>
      <c r="M21" s="20">
        <v>500</v>
      </c>
      <c r="N21" s="20">
        <v>500</v>
      </c>
      <c r="O21" s="20">
        <v>500</v>
      </c>
      <c r="P21" s="20">
        <v>500</v>
      </c>
      <c r="Q21" s="20">
        <v>500</v>
      </c>
      <c r="R21" s="20">
        <v>500</v>
      </c>
      <c r="S21" s="20">
        <v>500</v>
      </c>
      <c r="T21" s="20">
        <v>500</v>
      </c>
      <c r="U21" s="20">
        <v>500</v>
      </c>
      <c r="V21" s="20">
        <v>500</v>
      </c>
      <c r="W21" s="20">
        <v>500</v>
      </c>
      <c r="X21" s="20">
        <v>500</v>
      </c>
      <c r="Y21" s="20">
        <v>500</v>
      </c>
      <c r="Z21" s="20">
        <v>500</v>
      </c>
      <c r="AA21" s="20">
        <v>500</v>
      </c>
      <c r="AB21" s="20">
        <v>500</v>
      </c>
      <c r="AC21" s="20">
        <v>500</v>
      </c>
      <c r="AD21" s="20">
        <v>500</v>
      </c>
      <c r="AE21" s="20">
        <v>500</v>
      </c>
      <c r="AF21" s="20">
        <v>500</v>
      </c>
      <c r="AG21" s="20">
        <v>500</v>
      </c>
      <c r="AH21" s="20">
        <v>500</v>
      </c>
      <c r="AI21" s="20">
        <v>500</v>
      </c>
      <c r="AJ21" s="20">
        <v>500</v>
      </c>
      <c r="AK21" s="20">
        <v>500</v>
      </c>
      <c r="AL21" s="20">
        <v>500</v>
      </c>
      <c r="AM21" s="20">
        <v>500</v>
      </c>
      <c r="AN21" s="20">
        <v>500</v>
      </c>
      <c r="AO21" s="20">
        <v>500</v>
      </c>
      <c r="AP21" s="21">
        <f t="shared" si="2"/>
        <v>6000</v>
      </c>
      <c r="AQ21" s="21">
        <f t="shared" si="3"/>
        <v>6000</v>
      </c>
      <c r="AR21" s="21">
        <f t="shared" si="4"/>
        <v>6000</v>
      </c>
      <c r="AS21" s="22">
        <f t="shared" si="5"/>
        <v>18000</v>
      </c>
      <c r="AT21" s="21">
        <f t="shared" ref="AT21:AV21" si="44">AP21/12</f>
        <v>500</v>
      </c>
      <c r="AU21" s="21">
        <f t="shared" si="44"/>
        <v>500</v>
      </c>
      <c r="AV21" s="21">
        <f t="shared" si="44"/>
        <v>500</v>
      </c>
      <c r="AW21" s="22">
        <f t="shared" si="7"/>
        <v>1500</v>
      </c>
    </row>
    <row r="22" spans="1:49" ht="13.5" customHeight="1" x14ac:dyDescent="0.3">
      <c r="A22" s="29"/>
      <c r="B22" s="10"/>
      <c r="C22" s="39" t="s">
        <v>28</v>
      </c>
      <c r="D22" s="40"/>
      <c r="E22" s="49">
        <v>0.03</v>
      </c>
      <c r="F22" s="42">
        <f t="shared" ref="F22:AO22" si="45">SUM(F4:F5)*$E$22</f>
        <v>1080</v>
      </c>
      <c r="G22" s="42">
        <f t="shared" si="45"/>
        <v>1440</v>
      </c>
      <c r="H22" s="42">
        <f t="shared" si="45"/>
        <v>1610.1</v>
      </c>
      <c r="I22" s="42">
        <f t="shared" si="45"/>
        <v>1836.702</v>
      </c>
      <c r="J22" s="42">
        <f t="shared" si="45"/>
        <v>1848.9940199999999</v>
      </c>
      <c r="K22" s="42">
        <f t="shared" si="45"/>
        <v>1861.4089601999999</v>
      </c>
      <c r="L22" s="42">
        <f t="shared" si="45"/>
        <v>1873.9480498019998</v>
      </c>
      <c r="M22" s="42">
        <f t="shared" si="45"/>
        <v>2494.1125303000199</v>
      </c>
      <c r="N22" s="42">
        <f t="shared" si="45"/>
        <v>2628.4036556030205</v>
      </c>
      <c r="O22" s="42">
        <f t="shared" si="45"/>
        <v>2774.9726921590509</v>
      </c>
      <c r="P22" s="42">
        <f t="shared" si="45"/>
        <v>4552.2009190806421</v>
      </c>
      <c r="Q22" s="42">
        <f t="shared" si="45"/>
        <v>4888.8126282714484</v>
      </c>
      <c r="R22" s="42">
        <f t="shared" si="45"/>
        <v>5510.1459987557</v>
      </c>
      <c r="S22" s="42">
        <f t="shared" si="45"/>
        <v>5921.0676252557014</v>
      </c>
      <c r="T22" s="42">
        <f t="shared" si="45"/>
        <v>6373.0814144057003</v>
      </c>
      <c r="U22" s="42">
        <f t="shared" si="45"/>
        <v>6870.2965824707017</v>
      </c>
      <c r="V22" s="42">
        <f t="shared" si="45"/>
        <v>6870.2965824707017</v>
      </c>
      <c r="W22" s="42">
        <f t="shared" si="45"/>
        <v>6870.2965824707017</v>
      </c>
      <c r="X22" s="42">
        <f t="shared" si="45"/>
        <v>6870.2965824707017</v>
      </c>
      <c r="Y22" s="42">
        <f t="shared" si="45"/>
        <v>6870.2965824707017</v>
      </c>
      <c r="Z22" s="42">
        <f t="shared" si="45"/>
        <v>6870.2965824707017</v>
      </c>
      <c r="AA22" s="42">
        <f t="shared" si="45"/>
        <v>6870.2965824707017</v>
      </c>
      <c r="AB22" s="42">
        <f t="shared" si="45"/>
        <v>6870.2965824707017</v>
      </c>
      <c r="AC22" s="42">
        <f t="shared" si="45"/>
        <v>6977.1133151394861</v>
      </c>
      <c r="AD22" s="42">
        <f t="shared" si="45"/>
        <v>6977.1133151394861</v>
      </c>
      <c r="AE22" s="42">
        <f t="shared" si="45"/>
        <v>6977.1133151394861</v>
      </c>
      <c r="AF22" s="42">
        <f t="shared" si="45"/>
        <v>7088.0341174954392</v>
      </c>
      <c r="AG22" s="42">
        <f t="shared" si="45"/>
        <v>7088.0341174954392</v>
      </c>
      <c r="AH22" s="42">
        <f t="shared" si="45"/>
        <v>7088.0341174954392</v>
      </c>
      <c r="AI22" s="42">
        <f t="shared" si="45"/>
        <v>7088.0341174954392</v>
      </c>
      <c r="AJ22" s="42">
        <f t="shared" si="45"/>
        <v>7088.0341174954392</v>
      </c>
      <c r="AK22" s="42">
        <f t="shared" si="45"/>
        <v>7088.0341174954392</v>
      </c>
      <c r="AL22" s="42">
        <f t="shared" si="45"/>
        <v>7088.0341174954392</v>
      </c>
      <c r="AM22" s="42">
        <f t="shared" si="45"/>
        <v>7361.5024599311901</v>
      </c>
      <c r="AN22" s="42">
        <f t="shared" si="45"/>
        <v>7361.5024599311901</v>
      </c>
      <c r="AO22" s="42">
        <f t="shared" si="45"/>
        <v>7361.5024599311901</v>
      </c>
      <c r="AP22" s="43">
        <f t="shared" si="2"/>
        <v>28889.655455416185</v>
      </c>
      <c r="AQ22" s="43">
        <f t="shared" si="3"/>
        <v>79743.781013322208</v>
      </c>
      <c r="AR22" s="43">
        <f t="shared" si="4"/>
        <v>85654.972832540603</v>
      </c>
      <c r="AS22" s="44">
        <f t="shared" si="5"/>
        <v>194288.409301279</v>
      </c>
      <c r="AT22" s="43">
        <f t="shared" ref="AT22:AV22" si="46">AP22/12</f>
        <v>2407.4712879513486</v>
      </c>
      <c r="AU22" s="43">
        <f t="shared" si="46"/>
        <v>6645.3150844435177</v>
      </c>
      <c r="AV22" s="43">
        <f t="shared" si="46"/>
        <v>7137.9144027117172</v>
      </c>
      <c r="AW22" s="44">
        <f t="shared" si="7"/>
        <v>16190.700775106583</v>
      </c>
    </row>
    <row r="23" spans="1:49" ht="13.5" customHeight="1" x14ac:dyDescent="0.3">
      <c r="A23" s="29"/>
      <c r="B23" s="10"/>
      <c r="C23" s="39" t="s">
        <v>12</v>
      </c>
      <c r="D23" s="40"/>
      <c r="E23" s="49">
        <v>0.2</v>
      </c>
      <c r="F23" s="42">
        <f t="shared" ref="F23:AO23" si="47">$E$23*F6</f>
        <v>960</v>
      </c>
      <c r="G23" s="42">
        <f t="shared" si="47"/>
        <v>1272.0000000000002</v>
      </c>
      <c r="H23" s="42">
        <f t="shared" si="47"/>
        <v>1399.2</v>
      </c>
      <c r="I23" s="42">
        <f t="shared" si="47"/>
        <v>1539.1200000000003</v>
      </c>
      <c r="J23" s="42">
        <f t="shared" si="47"/>
        <v>1693.0320000000004</v>
      </c>
      <c r="K23" s="42">
        <f t="shared" si="47"/>
        <v>1862.3352000000007</v>
      </c>
      <c r="L23" s="42">
        <f t="shared" si="47"/>
        <v>2048.5687200000011</v>
      </c>
      <c r="M23" s="42">
        <f t="shared" si="47"/>
        <v>2253.4255920000014</v>
      </c>
      <c r="N23" s="42">
        <f t="shared" si="47"/>
        <v>2478.7681512000022</v>
      </c>
      <c r="O23" s="42">
        <f t="shared" si="47"/>
        <v>2726.6449663200019</v>
      </c>
      <c r="P23" s="42">
        <f t="shared" si="47"/>
        <v>2999.3094629520033</v>
      </c>
      <c r="Q23" s="42">
        <f t="shared" si="47"/>
        <v>3299.2404092472034</v>
      </c>
      <c r="R23" s="42">
        <f t="shared" si="47"/>
        <v>3810.6226726805203</v>
      </c>
      <c r="S23" s="42">
        <f t="shared" si="47"/>
        <v>4191.6849399485727</v>
      </c>
      <c r="T23" s="42">
        <f t="shared" si="47"/>
        <v>4610.85343394343</v>
      </c>
      <c r="U23" s="42">
        <f t="shared" si="47"/>
        <v>5071.938777337773</v>
      </c>
      <c r="V23" s="42">
        <f t="shared" si="47"/>
        <v>5071.938777337773</v>
      </c>
      <c r="W23" s="42">
        <f t="shared" si="47"/>
        <v>5071.938777337773</v>
      </c>
      <c r="X23" s="42">
        <f t="shared" si="47"/>
        <v>5071.938777337773</v>
      </c>
      <c r="Y23" s="42">
        <f t="shared" si="47"/>
        <v>5071.938777337773</v>
      </c>
      <c r="Z23" s="42">
        <f t="shared" si="47"/>
        <v>5071.938777337773</v>
      </c>
      <c r="AA23" s="42">
        <f t="shared" si="47"/>
        <v>5071.938777337773</v>
      </c>
      <c r="AB23" s="42">
        <f t="shared" si="47"/>
        <v>5071.938777337773</v>
      </c>
      <c r="AC23" s="42">
        <f t="shared" si="47"/>
        <v>5071.938777337773</v>
      </c>
      <c r="AD23" s="42">
        <f t="shared" si="47"/>
        <v>5071.938777337773</v>
      </c>
      <c r="AE23" s="42">
        <f t="shared" si="47"/>
        <v>5071.938777337773</v>
      </c>
      <c r="AF23" s="42">
        <f t="shared" si="47"/>
        <v>5071.938777337773</v>
      </c>
      <c r="AG23" s="42">
        <f t="shared" si="47"/>
        <v>5071.938777337773</v>
      </c>
      <c r="AH23" s="42">
        <f t="shared" si="47"/>
        <v>5071.938777337773</v>
      </c>
      <c r="AI23" s="42">
        <f t="shared" si="47"/>
        <v>5071.938777337773</v>
      </c>
      <c r="AJ23" s="42">
        <f t="shared" si="47"/>
        <v>5071.938777337773</v>
      </c>
      <c r="AK23" s="42">
        <f t="shared" si="47"/>
        <v>5071.938777337773</v>
      </c>
      <c r="AL23" s="42">
        <f t="shared" si="47"/>
        <v>5071.938777337773</v>
      </c>
      <c r="AM23" s="42">
        <f t="shared" si="47"/>
        <v>5325.5357162046621</v>
      </c>
      <c r="AN23" s="42">
        <f t="shared" si="47"/>
        <v>5325.5357162046621</v>
      </c>
      <c r="AO23" s="42">
        <f t="shared" si="47"/>
        <v>5325.5357162046621</v>
      </c>
      <c r="AP23" s="43">
        <f t="shared" si="2"/>
        <v>24531.644501719209</v>
      </c>
      <c r="AQ23" s="43">
        <f t="shared" si="3"/>
        <v>58260.61004261249</v>
      </c>
      <c r="AR23" s="43">
        <f t="shared" si="4"/>
        <v>61624.056144653958</v>
      </c>
      <c r="AS23" s="44">
        <f t="shared" si="5"/>
        <v>144416.31068898566</v>
      </c>
      <c r="AT23" s="43">
        <f t="shared" ref="AT23:AV23" si="48">AP23/12</f>
        <v>2044.3037084766008</v>
      </c>
      <c r="AU23" s="43">
        <f t="shared" si="48"/>
        <v>4855.0508368843739</v>
      </c>
      <c r="AV23" s="43">
        <f t="shared" si="48"/>
        <v>5135.3380120544962</v>
      </c>
      <c r="AW23" s="44">
        <f t="shared" si="7"/>
        <v>12034.69255741547</v>
      </c>
    </row>
    <row r="24" spans="1:49" ht="13.5" customHeight="1" x14ac:dyDescent="0.3">
      <c r="A24" s="29"/>
      <c r="B24" s="10"/>
      <c r="C24" s="39" t="s">
        <v>29</v>
      </c>
      <c r="D24" s="40"/>
      <c r="E24" s="49">
        <v>0.05</v>
      </c>
      <c r="F24" s="42">
        <f t="shared" ref="F24:AO24" si="49">F3*$E$24</f>
        <v>2040</v>
      </c>
      <c r="G24" s="42">
        <f t="shared" si="49"/>
        <v>2718</v>
      </c>
      <c r="H24" s="42">
        <f t="shared" si="49"/>
        <v>3033.3</v>
      </c>
      <c r="I24" s="42">
        <f t="shared" si="49"/>
        <v>3445.9500000000003</v>
      </c>
      <c r="J24" s="42">
        <f t="shared" si="49"/>
        <v>3504.9146999999998</v>
      </c>
      <c r="K24" s="42">
        <f t="shared" si="49"/>
        <v>3567.9320670000002</v>
      </c>
      <c r="L24" s="42">
        <f t="shared" si="49"/>
        <v>3635.3889296699999</v>
      </c>
      <c r="M24" s="42">
        <f t="shared" si="49"/>
        <v>4720.2106151667012</v>
      </c>
      <c r="N24" s="42">
        <f t="shared" si="49"/>
        <v>5000.3647971383689</v>
      </c>
      <c r="O24" s="42">
        <f t="shared" si="49"/>
        <v>5306.6157285117515</v>
      </c>
      <c r="P24" s="42">
        <f t="shared" si="49"/>
        <v>8336.8288975390715</v>
      </c>
      <c r="Q24" s="42">
        <f t="shared" si="49"/>
        <v>8972.8311494308819</v>
      </c>
      <c r="R24" s="42">
        <f t="shared" si="49"/>
        <v>10136.232332762964</v>
      </c>
      <c r="S24" s="42">
        <f t="shared" si="49"/>
        <v>10916.36727707998</v>
      </c>
      <c r="T24" s="42">
        <f t="shared" si="49"/>
        <v>11774.515715828693</v>
      </c>
      <c r="U24" s="42">
        <f t="shared" si="49"/>
        <v>12718.478998452279</v>
      </c>
      <c r="V24" s="42">
        <f t="shared" si="49"/>
        <v>12718.478998452279</v>
      </c>
      <c r="W24" s="42">
        <f t="shared" si="49"/>
        <v>12718.478998452279</v>
      </c>
      <c r="X24" s="42">
        <f t="shared" si="49"/>
        <v>12718.478998452279</v>
      </c>
      <c r="Y24" s="42">
        <f t="shared" si="49"/>
        <v>12718.478998452279</v>
      </c>
      <c r="Z24" s="42">
        <f t="shared" si="49"/>
        <v>12718.478998452279</v>
      </c>
      <c r="AA24" s="42">
        <f t="shared" si="49"/>
        <v>12718.478998452279</v>
      </c>
      <c r="AB24" s="42">
        <f t="shared" si="49"/>
        <v>12718.478998452279</v>
      </c>
      <c r="AC24" s="42">
        <f t="shared" si="49"/>
        <v>12896.506886233587</v>
      </c>
      <c r="AD24" s="42">
        <f t="shared" si="49"/>
        <v>12896.506886233587</v>
      </c>
      <c r="AE24" s="42">
        <f t="shared" si="49"/>
        <v>12896.506886233587</v>
      </c>
      <c r="AF24" s="42">
        <f t="shared" si="49"/>
        <v>13081.374890160176</v>
      </c>
      <c r="AG24" s="42">
        <f t="shared" si="49"/>
        <v>13081.374890160176</v>
      </c>
      <c r="AH24" s="42">
        <f t="shared" si="49"/>
        <v>13081.374890160176</v>
      </c>
      <c r="AI24" s="42">
        <f t="shared" si="49"/>
        <v>13081.374890160176</v>
      </c>
      <c r="AJ24" s="42">
        <f t="shared" si="49"/>
        <v>13081.374890160176</v>
      </c>
      <c r="AK24" s="42">
        <f t="shared" si="49"/>
        <v>13081.374890160176</v>
      </c>
      <c r="AL24" s="42">
        <f t="shared" si="49"/>
        <v>13081.374890160176</v>
      </c>
      <c r="AM24" s="42">
        <f t="shared" si="49"/>
        <v>13600.55469560315</v>
      </c>
      <c r="AN24" s="42">
        <f t="shared" si="49"/>
        <v>13600.55469560315</v>
      </c>
      <c r="AO24" s="42">
        <f t="shared" si="49"/>
        <v>13600.55469560315</v>
      </c>
      <c r="AP24" s="43">
        <f t="shared" si="2"/>
        <v>54282.336884456767</v>
      </c>
      <c r="AQ24" s="43">
        <f t="shared" si="3"/>
        <v>147471.45419952343</v>
      </c>
      <c r="AR24" s="43">
        <f t="shared" si="4"/>
        <v>158164.30209039786</v>
      </c>
      <c r="AS24" s="44">
        <f t="shared" si="5"/>
        <v>359918.09317437804</v>
      </c>
      <c r="AT24" s="43">
        <f t="shared" ref="AT24:AV24" si="50">AP24/12</f>
        <v>4523.5280737047306</v>
      </c>
      <c r="AU24" s="43">
        <f t="shared" si="50"/>
        <v>12289.287849960287</v>
      </c>
      <c r="AV24" s="43">
        <f t="shared" si="50"/>
        <v>13180.358507533156</v>
      </c>
      <c r="AW24" s="44">
        <f t="shared" si="7"/>
        <v>29993.174431198175</v>
      </c>
    </row>
    <row r="25" spans="1:49" ht="13.5" customHeight="1" x14ac:dyDescent="0.3">
      <c r="A25" s="29"/>
      <c r="B25" s="10"/>
      <c r="C25" s="39" t="s">
        <v>30</v>
      </c>
      <c r="D25" s="40"/>
      <c r="E25" s="49">
        <v>0.02</v>
      </c>
      <c r="F25" s="42">
        <f t="shared" ref="F25:AO25" si="51">F3*$E$25</f>
        <v>816</v>
      </c>
      <c r="G25" s="42">
        <f t="shared" si="51"/>
        <v>1087.2</v>
      </c>
      <c r="H25" s="42">
        <f t="shared" si="51"/>
        <v>1213.32</v>
      </c>
      <c r="I25" s="42">
        <f t="shared" si="51"/>
        <v>1378.38</v>
      </c>
      <c r="J25" s="42">
        <f t="shared" si="51"/>
        <v>1401.96588</v>
      </c>
      <c r="K25" s="42">
        <f t="shared" si="51"/>
        <v>1427.1728268000002</v>
      </c>
      <c r="L25" s="42">
        <f t="shared" si="51"/>
        <v>1454.1555718679999</v>
      </c>
      <c r="M25" s="42">
        <f t="shared" si="51"/>
        <v>1888.0842460666804</v>
      </c>
      <c r="N25" s="42">
        <f t="shared" si="51"/>
        <v>2000.1459188553474</v>
      </c>
      <c r="O25" s="42">
        <f t="shared" si="51"/>
        <v>2122.6462914047006</v>
      </c>
      <c r="P25" s="42">
        <f t="shared" si="51"/>
        <v>3334.7315590156286</v>
      </c>
      <c r="Q25" s="42">
        <f t="shared" si="51"/>
        <v>3589.1324597723528</v>
      </c>
      <c r="R25" s="42">
        <f t="shared" si="51"/>
        <v>4054.4929331051858</v>
      </c>
      <c r="S25" s="42">
        <f t="shared" si="51"/>
        <v>4366.5469108319921</v>
      </c>
      <c r="T25" s="42">
        <f t="shared" si="51"/>
        <v>4709.8062863314772</v>
      </c>
      <c r="U25" s="42">
        <f t="shared" si="51"/>
        <v>5087.3915993809123</v>
      </c>
      <c r="V25" s="42">
        <f t="shared" si="51"/>
        <v>5087.3915993809123</v>
      </c>
      <c r="W25" s="42">
        <f t="shared" si="51"/>
        <v>5087.3915993809123</v>
      </c>
      <c r="X25" s="42">
        <f t="shared" si="51"/>
        <v>5087.3915993809123</v>
      </c>
      <c r="Y25" s="42">
        <f t="shared" si="51"/>
        <v>5087.3915993809123</v>
      </c>
      <c r="Z25" s="42">
        <f t="shared" si="51"/>
        <v>5087.3915993809123</v>
      </c>
      <c r="AA25" s="42">
        <f t="shared" si="51"/>
        <v>5087.3915993809123</v>
      </c>
      <c r="AB25" s="42">
        <f t="shared" si="51"/>
        <v>5087.3915993809123</v>
      </c>
      <c r="AC25" s="42">
        <f t="shared" si="51"/>
        <v>5158.6027544934341</v>
      </c>
      <c r="AD25" s="42">
        <f t="shared" si="51"/>
        <v>5158.6027544934341</v>
      </c>
      <c r="AE25" s="42">
        <f t="shared" si="51"/>
        <v>5158.6027544934341</v>
      </c>
      <c r="AF25" s="42">
        <f t="shared" si="51"/>
        <v>5232.5499560640701</v>
      </c>
      <c r="AG25" s="42">
        <f t="shared" si="51"/>
        <v>5232.5499560640701</v>
      </c>
      <c r="AH25" s="42">
        <f t="shared" si="51"/>
        <v>5232.5499560640701</v>
      </c>
      <c r="AI25" s="42">
        <f t="shared" si="51"/>
        <v>5232.5499560640701</v>
      </c>
      <c r="AJ25" s="42">
        <f t="shared" si="51"/>
        <v>5232.5499560640701</v>
      </c>
      <c r="AK25" s="42">
        <f t="shared" si="51"/>
        <v>5232.5499560640701</v>
      </c>
      <c r="AL25" s="42">
        <f t="shared" si="51"/>
        <v>5232.5499560640701</v>
      </c>
      <c r="AM25" s="42">
        <f t="shared" si="51"/>
        <v>5440.2218782412601</v>
      </c>
      <c r="AN25" s="42">
        <f t="shared" si="51"/>
        <v>5440.2218782412601</v>
      </c>
      <c r="AO25" s="42">
        <f t="shared" si="51"/>
        <v>5440.2218782412601</v>
      </c>
      <c r="AP25" s="43">
        <f t="shared" si="2"/>
        <v>21712.934753782709</v>
      </c>
      <c r="AQ25" s="43">
        <f t="shared" si="3"/>
        <v>58988.581679809395</v>
      </c>
      <c r="AR25" s="43">
        <f t="shared" si="4"/>
        <v>63265.720836159133</v>
      </c>
      <c r="AS25" s="44">
        <f t="shared" si="5"/>
        <v>143967.23726975123</v>
      </c>
      <c r="AT25" s="43">
        <f t="shared" ref="AT25:AV25" si="52">AP25/12</f>
        <v>1809.4112294818924</v>
      </c>
      <c r="AU25" s="43">
        <f t="shared" si="52"/>
        <v>4915.7151399841159</v>
      </c>
      <c r="AV25" s="43">
        <f t="shared" si="52"/>
        <v>5272.1434030132614</v>
      </c>
      <c r="AW25" s="44">
        <f t="shared" si="7"/>
        <v>11997.269772479271</v>
      </c>
    </row>
    <row r="26" spans="1:49" ht="13.5" customHeight="1" x14ac:dyDescent="0.3">
      <c r="A26" s="9"/>
      <c r="B26" s="187" t="s">
        <v>31</v>
      </c>
      <c r="C26" s="188"/>
      <c r="D26" s="189"/>
      <c r="E26" s="190"/>
      <c r="F26" s="191">
        <f t="shared" ref="F26:AO26" si="53">F13-F14</f>
        <v>-11489.2</v>
      </c>
      <c r="G26" s="191">
        <f t="shared" si="53"/>
        <v>-12065.340000000004</v>
      </c>
      <c r="H26" s="191">
        <f t="shared" si="53"/>
        <v>-12403.628999999997</v>
      </c>
      <c r="I26" s="191">
        <f t="shared" si="53"/>
        <v>-12823.795499999997</v>
      </c>
      <c r="J26" s="191">
        <f t="shared" si="53"/>
        <v>-12997.664930999996</v>
      </c>
      <c r="K26" s="191">
        <f t="shared" si="53"/>
        <v>-13187.575328909999</v>
      </c>
      <c r="L26" s="191">
        <f t="shared" si="53"/>
        <v>-13395.117330659101</v>
      </c>
      <c r="M26" s="191">
        <f t="shared" si="53"/>
        <v>-14361.165502271695</v>
      </c>
      <c r="N26" s="191">
        <f t="shared" si="53"/>
        <v>-14757.219230431012</v>
      </c>
      <c r="O26" s="191">
        <f t="shared" si="53"/>
        <v>-15191.477703185577</v>
      </c>
      <c r="P26" s="191">
        <f t="shared" si="53"/>
        <v>-17636.346807974434</v>
      </c>
      <c r="Q26" s="191">
        <f t="shared" si="53"/>
        <v>-18546.370431773939</v>
      </c>
      <c r="R26" s="191">
        <f t="shared" si="53"/>
        <v>-20544.348574524272</v>
      </c>
      <c r="S26" s="191">
        <f t="shared" si="53"/>
        <v>-21671.790494348665</v>
      </c>
      <c r="T26" s="191">
        <f t="shared" si="53"/>
        <v>-22911.976606155447</v>
      </c>
      <c r="U26" s="191">
        <f t="shared" si="53"/>
        <v>-24276.181329142935</v>
      </c>
      <c r="V26" s="191">
        <f t="shared" si="53"/>
        <v>-24276.181329142935</v>
      </c>
      <c r="W26" s="191">
        <f t="shared" si="53"/>
        <v>-24276.181329142935</v>
      </c>
      <c r="X26" s="191">
        <f t="shared" si="53"/>
        <v>-24276.181329142935</v>
      </c>
      <c r="Y26" s="191">
        <f t="shared" si="53"/>
        <v>-24276.181329142935</v>
      </c>
      <c r="Z26" s="191">
        <f t="shared" si="53"/>
        <v>-24276.181329142935</v>
      </c>
      <c r="AA26" s="191">
        <f t="shared" si="53"/>
        <v>-24276.181329142935</v>
      </c>
      <c r="AB26" s="191">
        <f t="shared" si="53"/>
        <v>-24276.181329142935</v>
      </c>
      <c r="AC26" s="191">
        <f t="shared" si="53"/>
        <v>-24941.050053557694</v>
      </c>
      <c r="AD26" s="191">
        <f t="shared" si="53"/>
        <v>-24996.050053557694</v>
      </c>
      <c r="AE26" s="191">
        <f t="shared" si="53"/>
        <v>-24996.050053557694</v>
      </c>
      <c r="AF26" s="191">
        <f t="shared" si="53"/>
        <v>-25686.464097602096</v>
      </c>
      <c r="AG26" s="191">
        <f t="shared" si="53"/>
        <v>-25686.464097602096</v>
      </c>
      <c r="AH26" s="191">
        <f t="shared" si="53"/>
        <v>-25686.464097602096</v>
      </c>
      <c r="AI26" s="191">
        <f t="shared" si="53"/>
        <v>-25686.464097602096</v>
      </c>
      <c r="AJ26" s="191">
        <f t="shared" si="53"/>
        <v>-25686.464097602096</v>
      </c>
      <c r="AK26" s="191">
        <f t="shared" si="53"/>
        <v>-25686.464097602096</v>
      </c>
      <c r="AL26" s="191">
        <f t="shared" si="53"/>
        <v>-25686.464097602096</v>
      </c>
      <c r="AM26" s="191">
        <f t="shared" si="53"/>
        <v>-26436.7766952452</v>
      </c>
      <c r="AN26" s="191">
        <f t="shared" si="53"/>
        <v>-26436.7766952452</v>
      </c>
      <c r="AO26" s="191">
        <f t="shared" si="53"/>
        <v>-26436.7766952452</v>
      </c>
      <c r="AP26" s="15">
        <f t="shared" si="2"/>
        <v>-168854.90176620579</v>
      </c>
      <c r="AQ26" s="15">
        <f t="shared" si="3"/>
        <v>-284278.61636172963</v>
      </c>
      <c r="AR26" s="15">
        <f t="shared" si="4"/>
        <v>-309107.67887606559</v>
      </c>
      <c r="AS26" s="16">
        <f t="shared" si="5"/>
        <v>-762241.19700400101</v>
      </c>
      <c r="AT26" s="15">
        <f t="shared" ref="AT26:AV26" si="54">AP26/12</f>
        <v>-14071.241813850482</v>
      </c>
      <c r="AU26" s="15">
        <f t="shared" si="54"/>
        <v>-23689.884696810801</v>
      </c>
      <c r="AV26" s="15">
        <f t="shared" si="54"/>
        <v>-25758.973239672134</v>
      </c>
      <c r="AW26" s="16">
        <f t="shared" si="7"/>
        <v>-63520.099750333422</v>
      </c>
    </row>
    <row r="27" spans="1:49" ht="13.5" hidden="1" customHeight="1" x14ac:dyDescent="0.3">
      <c r="A27" s="29"/>
      <c r="B27" s="183"/>
      <c r="C27" s="184" t="s">
        <v>32</v>
      </c>
      <c r="D27" s="185"/>
      <c r="E27" s="186"/>
      <c r="F27" s="20">
        <f t="shared" ref="F27:AO27" si="55">IF(F26&lt;0,0,(F3*8%)*25%)</f>
        <v>0</v>
      </c>
      <c r="G27" s="20">
        <f t="shared" si="55"/>
        <v>0</v>
      </c>
      <c r="H27" s="20">
        <f t="shared" si="55"/>
        <v>0</v>
      </c>
      <c r="I27" s="20">
        <f t="shared" si="55"/>
        <v>0</v>
      </c>
      <c r="J27" s="20">
        <f t="shared" si="55"/>
        <v>0</v>
      </c>
      <c r="K27" s="20">
        <f t="shared" si="55"/>
        <v>0</v>
      </c>
      <c r="L27" s="20">
        <f t="shared" si="55"/>
        <v>0</v>
      </c>
      <c r="M27" s="20">
        <f t="shared" si="55"/>
        <v>0</v>
      </c>
      <c r="N27" s="20">
        <f t="shared" si="55"/>
        <v>0</v>
      </c>
      <c r="O27" s="20">
        <f t="shared" si="55"/>
        <v>0</v>
      </c>
      <c r="P27" s="20">
        <f t="shared" si="55"/>
        <v>0</v>
      </c>
      <c r="Q27" s="20">
        <f t="shared" si="55"/>
        <v>0</v>
      </c>
      <c r="R27" s="20">
        <f t="shared" si="55"/>
        <v>0</v>
      </c>
      <c r="S27" s="20">
        <f t="shared" si="55"/>
        <v>0</v>
      </c>
      <c r="T27" s="20">
        <f t="shared" si="55"/>
        <v>0</v>
      </c>
      <c r="U27" s="20">
        <f t="shared" si="55"/>
        <v>0</v>
      </c>
      <c r="V27" s="20">
        <f t="shared" si="55"/>
        <v>0</v>
      </c>
      <c r="W27" s="20">
        <f t="shared" si="55"/>
        <v>0</v>
      </c>
      <c r="X27" s="20">
        <f t="shared" si="55"/>
        <v>0</v>
      </c>
      <c r="Y27" s="20">
        <f t="shared" si="55"/>
        <v>0</v>
      </c>
      <c r="Z27" s="20">
        <f t="shared" si="55"/>
        <v>0</v>
      </c>
      <c r="AA27" s="20">
        <f t="shared" si="55"/>
        <v>0</v>
      </c>
      <c r="AB27" s="20">
        <f t="shared" si="55"/>
        <v>0</v>
      </c>
      <c r="AC27" s="20">
        <f t="shared" si="55"/>
        <v>0</v>
      </c>
      <c r="AD27" s="20">
        <f t="shared" si="55"/>
        <v>0</v>
      </c>
      <c r="AE27" s="20">
        <f t="shared" si="55"/>
        <v>0</v>
      </c>
      <c r="AF27" s="20">
        <f t="shared" si="55"/>
        <v>0</v>
      </c>
      <c r="AG27" s="20">
        <f t="shared" si="55"/>
        <v>0</v>
      </c>
      <c r="AH27" s="20">
        <f t="shared" si="55"/>
        <v>0</v>
      </c>
      <c r="AI27" s="20">
        <f t="shared" si="55"/>
        <v>0</v>
      </c>
      <c r="AJ27" s="20">
        <f t="shared" si="55"/>
        <v>0</v>
      </c>
      <c r="AK27" s="20">
        <f t="shared" si="55"/>
        <v>0</v>
      </c>
      <c r="AL27" s="20">
        <f t="shared" si="55"/>
        <v>0</v>
      </c>
      <c r="AM27" s="20">
        <f t="shared" si="55"/>
        <v>0</v>
      </c>
      <c r="AN27" s="20">
        <f t="shared" si="55"/>
        <v>0</v>
      </c>
      <c r="AO27" s="20">
        <f t="shared" si="55"/>
        <v>0</v>
      </c>
      <c r="AP27" s="20">
        <f t="shared" ref="AP27:AR27" si="56">(AP3*8%)*25%</f>
        <v>21712.934753782713</v>
      </c>
      <c r="AQ27" s="20">
        <f t="shared" si="56"/>
        <v>58988.581679809395</v>
      </c>
      <c r="AR27" s="20">
        <f t="shared" si="56"/>
        <v>63265.720836159147</v>
      </c>
      <c r="AS27" s="22">
        <f t="shared" si="5"/>
        <v>143967.23726975126</v>
      </c>
      <c r="AT27" s="20">
        <f t="shared" ref="AT27:AV27" si="57">AP27/12</f>
        <v>1809.4112294818926</v>
      </c>
      <c r="AU27" s="20">
        <f t="shared" si="57"/>
        <v>4915.7151399841159</v>
      </c>
      <c r="AV27" s="20">
        <f t="shared" si="57"/>
        <v>5272.1434030132623</v>
      </c>
      <c r="AW27" s="22">
        <f t="shared" si="7"/>
        <v>11997.269772479271</v>
      </c>
    </row>
    <row r="28" spans="1:49" ht="13.5" hidden="1" customHeight="1" x14ac:dyDescent="0.3">
      <c r="A28" s="29"/>
      <c r="B28" s="26"/>
      <c r="C28" s="17" t="s">
        <v>33</v>
      </c>
      <c r="D28" s="50"/>
      <c r="E28" s="51"/>
      <c r="F28" s="20">
        <f t="shared" ref="F28:AO28" si="58">IF(F26&lt;0,0,(F3*9%)*12%)</f>
        <v>0</v>
      </c>
      <c r="G28" s="20">
        <f t="shared" si="58"/>
        <v>0</v>
      </c>
      <c r="H28" s="20">
        <f t="shared" si="58"/>
        <v>0</v>
      </c>
      <c r="I28" s="20">
        <f t="shared" si="58"/>
        <v>0</v>
      </c>
      <c r="J28" s="20">
        <f t="shared" si="58"/>
        <v>0</v>
      </c>
      <c r="K28" s="20">
        <f t="shared" si="58"/>
        <v>0</v>
      </c>
      <c r="L28" s="20">
        <f t="shared" si="58"/>
        <v>0</v>
      </c>
      <c r="M28" s="20">
        <f t="shared" si="58"/>
        <v>0</v>
      </c>
      <c r="N28" s="20">
        <f t="shared" si="58"/>
        <v>0</v>
      </c>
      <c r="O28" s="20">
        <f t="shared" si="58"/>
        <v>0</v>
      </c>
      <c r="P28" s="20">
        <f t="shared" si="58"/>
        <v>0</v>
      </c>
      <c r="Q28" s="20">
        <f t="shared" si="58"/>
        <v>0</v>
      </c>
      <c r="R28" s="20">
        <f t="shared" si="58"/>
        <v>0</v>
      </c>
      <c r="S28" s="20">
        <f t="shared" si="58"/>
        <v>0</v>
      </c>
      <c r="T28" s="20">
        <f t="shared" si="58"/>
        <v>0</v>
      </c>
      <c r="U28" s="20">
        <f t="shared" si="58"/>
        <v>0</v>
      </c>
      <c r="V28" s="20">
        <f t="shared" si="58"/>
        <v>0</v>
      </c>
      <c r="W28" s="20">
        <f t="shared" si="58"/>
        <v>0</v>
      </c>
      <c r="X28" s="20">
        <f t="shared" si="58"/>
        <v>0</v>
      </c>
      <c r="Y28" s="20">
        <f t="shared" si="58"/>
        <v>0</v>
      </c>
      <c r="Z28" s="20">
        <f t="shared" si="58"/>
        <v>0</v>
      </c>
      <c r="AA28" s="20">
        <f t="shared" si="58"/>
        <v>0</v>
      </c>
      <c r="AB28" s="20">
        <f t="shared" si="58"/>
        <v>0</v>
      </c>
      <c r="AC28" s="20">
        <f t="shared" si="58"/>
        <v>0</v>
      </c>
      <c r="AD28" s="20">
        <f t="shared" si="58"/>
        <v>0</v>
      </c>
      <c r="AE28" s="20">
        <f t="shared" si="58"/>
        <v>0</v>
      </c>
      <c r="AF28" s="20">
        <f t="shared" si="58"/>
        <v>0</v>
      </c>
      <c r="AG28" s="20">
        <f t="shared" si="58"/>
        <v>0</v>
      </c>
      <c r="AH28" s="20">
        <f t="shared" si="58"/>
        <v>0</v>
      </c>
      <c r="AI28" s="20">
        <f t="shared" si="58"/>
        <v>0</v>
      </c>
      <c r="AJ28" s="20">
        <f t="shared" si="58"/>
        <v>0</v>
      </c>
      <c r="AK28" s="20">
        <f t="shared" si="58"/>
        <v>0</v>
      </c>
      <c r="AL28" s="20">
        <f t="shared" si="58"/>
        <v>0</v>
      </c>
      <c r="AM28" s="20">
        <f t="shared" si="58"/>
        <v>0</v>
      </c>
      <c r="AN28" s="20">
        <f t="shared" si="58"/>
        <v>0</v>
      </c>
      <c r="AO28" s="20">
        <f t="shared" si="58"/>
        <v>0</v>
      </c>
      <c r="AP28" s="20">
        <f t="shared" ref="AP28:AR28" si="59">(AP3*9%)*12%</f>
        <v>11724.984767042664</v>
      </c>
      <c r="AQ28" s="20">
        <f t="shared" si="59"/>
        <v>31853.834107097067</v>
      </c>
      <c r="AR28" s="20">
        <f t="shared" si="59"/>
        <v>34163.489251525942</v>
      </c>
      <c r="AS28" s="22">
        <f t="shared" si="5"/>
        <v>77742.308125665673</v>
      </c>
      <c r="AT28" s="20">
        <f t="shared" ref="AT28:AV28" si="60">AP28/12</f>
        <v>977.08206392022203</v>
      </c>
      <c r="AU28" s="20">
        <f t="shared" si="60"/>
        <v>2654.4861755914221</v>
      </c>
      <c r="AV28" s="20">
        <f t="shared" si="60"/>
        <v>2846.9574376271617</v>
      </c>
      <c r="AW28" s="22">
        <f t="shared" si="7"/>
        <v>6478.5256771388058</v>
      </c>
    </row>
    <row r="29" spans="1:49" ht="13.5" hidden="1" customHeight="1" x14ac:dyDescent="0.3">
      <c r="A29" s="1"/>
      <c r="B29" s="52" t="s">
        <v>34</v>
      </c>
      <c r="C29" s="53"/>
      <c r="D29" s="54"/>
      <c r="E29" s="7"/>
      <c r="F29" s="55">
        <f t="shared" ref="F29:AW29" si="61">F26-F27-F28</f>
        <v>-11489.2</v>
      </c>
      <c r="G29" s="55">
        <f t="shared" si="61"/>
        <v>-12065.340000000004</v>
      </c>
      <c r="H29" s="55">
        <f t="shared" si="61"/>
        <v>-12403.628999999997</v>
      </c>
      <c r="I29" s="55">
        <f t="shared" si="61"/>
        <v>-12823.795499999997</v>
      </c>
      <c r="J29" s="55">
        <f t="shared" si="61"/>
        <v>-12997.664930999996</v>
      </c>
      <c r="K29" s="55">
        <f t="shared" si="61"/>
        <v>-13187.575328909999</v>
      </c>
      <c r="L29" s="55">
        <f t="shared" si="61"/>
        <v>-13395.117330659101</v>
      </c>
      <c r="M29" s="55">
        <f t="shared" si="61"/>
        <v>-14361.165502271695</v>
      </c>
      <c r="N29" s="55">
        <f t="shared" si="61"/>
        <v>-14757.219230431012</v>
      </c>
      <c r="O29" s="55">
        <f t="shared" si="61"/>
        <v>-15191.477703185577</v>
      </c>
      <c r="P29" s="55">
        <f t="shared" si="61"/>
        <v>-17636.346807974434</v>
      </c>
      <c r="Q29" s="55">
        <f t="shared" si="61"/>
        <v>-18546.370431773939</v>
      </c>
      <c r="R29" s="55">
        <f t="shared" si="61"/>
        <v>-20544.348574524272</v>
      </c>
      <c r="S29" s="55">
        <f t="shared" si="61"/>
        <v>-21671.790494348665</v>
      </c>
      <c r="T29" s="55">
        <f t="shared" si="61"/>
        <v>-22911.976606155447</v>
      </c>
      <c r="U29" s="55">
        <f t="shared" si="61"/>
        <v>-24276.181329142935</v>
      </c>
      <c r="V29" s="55">
        <f t="shared" si="61"/>
        <v>-24276.181329142935</v>
      </c>
      <c r="W29" s="55">
        <f t="shared" si="61"/>
        <v>-24276.181329142935</v>
      </c>
      <c r="X29" s="55">
        <f t="shared" si="61"/>
        <v>-24276.181329142935</v>
      </c>
      <c r="Y29" s="55">
        <f t="shared" si="61"/>
        <v>-24276.181329142935</v>
      </c>
      <c r="Z29" s="55">
        <f t="shared" si="61"/>
        <v>-24276.181329142935</v>
      </c>
      <c r="AA29" s="55">
        <f t="shared" si="61"/>
        <v>-24276.181329142935</v>
      </c>
      <c r="AB29" s="55">
        <f t="shared" si="61"/>
        <v>-24276.181329142935</v>
      </c>
      <c r="AC29" s="55">
        <f t="shared" si="61"/>
        <v>-24941.050053557694</v>
      </c>
      <c r="AD29" s="55">
        <f t="shared" si="61"/>
        <v>-24996.050053557694</v>
      </c>
      <c r="AE29" s="55">
        <f t="shared" si="61"/>
        <v>-24996.050053557694</v>
      </c>
      <c r="AF29" s="55">
        <f t="shared" si="61"/>
        <v>-25686.464097602096</v>
      </c>
      <c r="AG29" s="55">
        <f t="shared" si="61"/>
        <v>-25686.464097602096</v>
      </c>
      <c r="AH29" s="55">
        <f t="shared" si="61"/>
        <v>-25686.464097602096</v>
      </c>
      <c r="AI29" s="55">
        <f t="shared" si="61"/>
        <v>-25686.464097602096</v>
      </c>
      <c r="AJ29" s="55">
        <f t="shared" si="61"/>
        <v>-25686.464097602096</v>
      </c>
      <c r="AK29" s="55">
        <f t="shared" si="61"/>
        <v>-25686.464097602096</v>
      </c>
      <c r="AL29" s="55">
        <f t="shared" si="61"/>
        <v>-25686.464097602096</v>
      </c>
      <c r="AM29" s="55">
        <f t="shared" si="61"/>
        <v>-26436.7766952452</v>
      </c>
      <c r="AN29" s="55">
        <f t="shared" si="61"/>
        <v>-26436.7766952452</v>
      </c>
      <c r="AO29" s="55">
        <f t="shared" si="61"/>
        <v>-26436.7766952452</v>
      </c>
      <c r="AP29" s="55">
        <f t="shared" si="61"/>
        <v>-202292.82128703114</v>
      </c>
      <c r="AQ29" s="55">
        <f t="shared" si="61"/>
        <v>-375121.03214863606</v>
      </c>
      <c r="AR29" s="55">
        <f t="shared" si="61"/>
        <v>-406536.88896375068</v>
      </c>
      <c r="AS29" s="56">
        <f t="shared" si="61"/>
        <v>-983950.74239941791</v>
      </c>
      <c r="AT29" s="55">
        <f t="shared" si="61"/>
        <v>-16857.735107252596</v>
      </c>
      <c r="AU29" s="55">
        <f t="shared" si="61"/>
        <v>-31260.086012386339</v>
      </c>
      <c r="AV29" s="55">
        <f t="shared" si="61"/>
        <v>-33878.074080312559</v>
      </c>
      <c r="AW29" s="56">
        <f t="shared" si="61"/>
        <v>-81995.895199951497</v>
      </c>
    </row>
    <row r="30" spans="1:49" ht="13.5" hidden="1" customHeight="1" x14ac:dyDescent="0.3">
      <c r="A30" s="57"/>
      <c r="B30" s="58" t="s">
        <v>35</v>
      </c>
      <c r="C30" s="59"/>
      <c r="D30" s="60"/>
      <c r="E30" s="61"/>
      <c r="F30" s="62">
        <f t="shared" ref="F30:AR30" si="62">F29/F3%</f>
        <v>-28.159803921568628</v>
      </c>
      <c r="G30" s="62">
        <f t="shared" si="62"/>
        <v>-22.195253863134663</v>
      </c>
      <c r="H30" s="62">
        <f t="shared" si="62"/>
        <v>-20.445766986450398</v>
      </c>
      <c r="I30" s="62">
        <f t="shared" si="62"/>
        <v>-18.607053932877719</v>
      </c>
      <c r="J30" s="62">
        <f t="shared" si="62"/>
        <v>-18.542056003531265</v>
      </c>
      <c r="K30" s="62">
        <f t="shared" si="62"/>
        <v>-18.480698456793235</v>
      </c>
      <c r="L30" s="62">
        <f t="shared" si="62"/>
        <v>-18.423224570740818</v>
      </c>
      <c r="M30" s="62">
        <f t="shared" si="62"/>
        <v>-15.212420242570584</v>
      </c>
      <c r="N30" s="62">
        <f t="shared" si="62"/>
        <v>-14.756142630710006</v>
      </c>
      <c r="O30" s="62">
        <f t="shared" si="62"/>
        <v>-14.313715633830199</v>
      </c>
      <c r="P30" s="62">
        <f t="shared" si="62"/>
        <v>-10.577371219157722</v>
      </c>
      <c r="Q30" s="62">
        <f t="shared" si="62"/>
        <v>-10.334737232267141</v>
      </c>
      <c r="R30" s="62">
        <f t="shared" si="62"/>
        <v>-10.134114876254142</v>
      </c>
      <c r="S30" s="62">
        <f t="shared" si="62"/>
        <v>-9.9262831417603472</v>
      </c>
      <c r="T30" s="62">
        <f t="shared" si="62"/>
        <v>-9.7294772707103636</v>
      </c>
      <c r="U30" s="62">
        <f t="shared" si="62"/>
        <v>-9.5436652968083386</v>
      </c>
      <c r="V30" s="62">
        <f t="shared" si="62"/>
        <v>-9.5436652968083386</v>
      </c>
      <c r="W30" s="62">
        <f t="shared" si="62"/>
        <v>-9.5436652968083386</v>
      </c>
      <c r="X30" s="62">
        <f t="shared" si="62"/>
        <v>-9.5436652968083386</v>
      </c>
      <c r="Y30" s="62">
        <f t="shared" si="62"/>
        <v>-9.5436652968083386</v>
      </c>
      <c r="Z30" s="62">
        <f t="shared" si="62"/>
        <v>-9.5436652968083386</v>
      </c>
      <c r="AA30" s="62">
        <f t="shared" si="62"/>
        <v>-9.5436652968083386</v>
      </c>
      <c r="AB30" s="62">
        <f t="shared" si="62"/>
        <v>-9.5436652968083386</v>
      </c>
      <c r="AC30" s="62">
        <f t="shared" si="62"/>
        <v>-9.6696920621897586</v>
      </c>
      <c r="AD30" s="62">
        <f t="shared" si="62"/>
        <v>-9.6910156657380622</v>
      </c>
      <c r="AE30" s="62">
        <f t="shared" si="62"/>
        <v>-9.6910156657380622</v>
      </c>
      <c r="AF30" s="62">
        <f t="shared" si="62"/>
        <v>-9.8179527432255931</v>
      </c>
      <c r="AG30" s="62">
        <f t="shared" si="62"/>
        <v>-9.8179527432255931</v>
      </c>
      <c r="AH30" s="62">
        <f t="shared" si="62"/>
        <v>-9.8179527432255931</v>
      </c>
      <c r="AI30" s="62">
        <f t="shared" si="62"/>
        <v>-9.8179527432255931</v>
      </c>
      <c r="AJ30" s="62">
        <f t="shared" si="62"/>
        <v>-9.8179527432255931</v>
      </c>
      <c r="AK30" s="62">
        <f t="shared" si="62"/>
        <v>-9.8179527432255931</v>
      </c>
      <c r="AL30" s="62">
        <f t="shared" si="62"/>
        <v>-9.8179527432255931</v>
      </c>
      <c r="AM30" s="62">
        <f t="shared" si="62"/>
        <v>-9.7190067930802133</v>
      </c>
      <c r="AN30" s="62">
        <f t="shared" si="62"/>
        <v>-9.7190067930802133</v>
      </c>
      <c r="AO30" s="62">
        <f t="shared" si="62"/>
        <v>-9.7190067930802133</v>
      </c>
      <c r="AP30" s="62">
        <f t="shared" si="62"/>
        <v>-18.633392821464518</v>
      </c>
      <c r="AQ30" s="62">
        <f t="shared" si="62"/>
        <v>-12.718428599785522</v>
      </c>
      <c r="AR30" s="62">
        <f t="shared" si="62"/>
        <v>-12.851727083504498</v>
      </c>
      <c r="AS30" s="63">
        <f t="shared" ref="AS30:AW30" si="63">AS29/AS4%</f>
        <v>-57.980578550802015</v>
      </c>
      <c r="AT30" s="62">
        <f t="shared" si="63"/>
        <v>-41.030495291645437</v>
      </c>
      <c r="AU30" s="62">
        <f t="shared" si="63"/>
        <v>-66.518788076815326</v>
      </c>
      <c r="AV30" s="62">
        <f t="shared" si="63"/>
        <v>-63.514224956974239</v>
      </c>
      <c r="AW30" s="63">
        <f t="shared" si="63"/>
        <v>-57.980578550802029</v>
      </c>
    </row>
    <row r="31" spans="1:49" ht="15.75" customHeight="1" x14ac:dyDescent="0.3">
      <c r="A31" s="1"/>
      <c r="B31" s="1"/>
      <c r="C31" s="1"/>
      <c r="D31" s="1"/>
      <c r="E31" s="64"/>
      <c r="F31" s="6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t="16.5" customHeight="1" x14ac:dyDescent="0.25">
      <c r="A32" s="65"/>
      <c r="B32" s="65"/>
      <c r="C32" s="66" t="s">
        <v>36</v>
      </c>
      <c r="D32" s="67"/>
      <c r="E32" s="68"/>
      <c r="F32" s="69">
        <v>5</v>
      </c>
      <c r="G32" s="69">
        <f t="shared" ref="G32:AO32" si="64">F32*(1+G33)</f>
        <v>6.5</v>
      </c>
      <c r="H32" s="69">
        <f t="shared" si="64"/>
        <v>6.6950000000000003</v>
      </c>
      <c r="I32" s="69">
        <f t="shared" si="64"/>
        <v>6.8289</v>
      </c>
      <c r="J32" s="69">
        <f t="shared" si="64"/>
        <v>6.897189</v>
      </c>
      <c r="K32" s="69">
        <f t="shared" si="64"/>
        <v>6.9661608900000003</v>
      </c>
      <c r="L32" s="69">
        <f t="shared" si="64"/>
        <v>7.0358224989</v>
      </c>
      <c r="M32" s="69">
        <f t="shared" si="64"/>
        <v>7.1061807238890005</v>
      </c>
      <c r="N32" s="69">
        <f t="shared" si="64"/>
        <v>7.1772425311278907</v>
      </c>
      <c r="O32" s="69">
        <f t="shared" si="64"/>
        <v>7.2490149564391695</v>
      </c>
      <c r="P32" s="69">
        <f t="shared" si="64"/>
        <v>7.3215051060035616</v>
      </c>
      <c r="Q32" s="69">
        <f t="shared" si="64"/>
        <v>7.3947201570635972</v>
      </c>
      <c r="R32" s="69">
        <f t="shared" si="64"/>
        <v>7.3947201570635972</v>
      </c>
      <c r="S32" s="69">
        <f t="shared" si="64"/>
        <v>7.3947201570635972</v>
      </c>
      <c r="T32" s="69">
        <f t="shared" si="64"/>
        <v>7.3947201570635972</v>
      </c>
      <c r="U32" s="69">
        <f t="shared" si="64"/>
        <v>7.3947201570635972</v>
      </c>
      <c r="V32" s="69">
        <f t="shared" si="64"/>
        <v>7.3947201570635972</v>
      </c>
      <c r="W32" s="69">
        <f t="shared" si="64"/>
        <v>7.3947201570635972</v>
      </c>
      <c r="X32" s="69">
        <f t="shared" si="64"/>
        <v>7.3947201570635972</v>
      </c>
      <c r="Y32" s="69">
        <f t="shared" si="64"/>
        <v>7.3947201570635972</v>
      </c>
      <c r="Z32" s="69">
        <f t="shared" si="64"/>
        <v>7.3947201570635972</v>
      </c>
      <c r="AA32" s="69">
        <f t="shared" si="64"/>
        <v>7.3947201570635972</v>
      </c>
      <c r="AB32" s="69">
        <f t="shared" si="64"/>
        <v>7.3947201570635972</v>
      </c>
      <c r="AC32" s="69">
        <f t="shared" si="64"/>
        <v>7.3947201570635972</v>
      </c>
      <c r="AD32" s="69">
        <f t="shared" si="64"/>
        <v>7.3947201570635972</v>
      </c>
      <c r="AE32" s="69">
        <f t="shared" si="64"/>
        <v>7.3947201570635972</v>
      </c>
      <c r="AF32" s="69">
        <f t="shared" si="64"/>
        <v>7.3947201570635972</v>
      </c>
      <c r="AG32" s="69">
        <f t="shared" si="64"/>
        <v>7.3947201570635972</v>
      </c>
      <c r="AH32" s="69">
        <f t="shared" si="64"/>
        <v>7.3947201570635972</v>
      </c>
      <c r="AI32" s="69">
        <f t="shared" si="64"/>
        <v>7.3947201570635972</v>
      </c>
      <c r="AJ32" s="69">
        <f t="shared" si="64"/>
        <v>7.3947201570635972</v>
      </c>
      <c r="AK32" s="69">
        <f t="shared" si="64"/>
        <v>7.3947201570635972</v>
      </c>
      <c r="AL32" s="69">
        <f t="shared" si="64"/>
        <v>7.3947201570635972</v>
      </c>
      <c r="AM32" s="69">
        <f t="shared" si="64"/>
        <v>7.3947201570635972</v>
      </c>
      <c r="AN32" s="69">
        <f t="shared" si="64"/>
        <v>7.3947201570635972</v>
      </c>
      <c r="AO32" s="70">
        <f t="shared" si="64"/>
        <v>7.3947201570635972</v>
      </c>
      <c r="AP32" s="71">
        <f t="shared" ref="AP32:AW32" si="65">AP3/AP18</f>
        <v>15.078426912349105</v>
      </c>
      <c r="AQ32" s="72">
        <f t="shared" si="65"/>
        <v>38.67520418547327</v>
      </c>
      <c r="AR32" s="73">
        <f t="shared" si="65"/>
        <v>36.545276482912698</v>
      </c>
      <c r="AS32" s="74">
        <f t="shared" si="65"/>
        <v>30.654872629775475</v>
      </c>
      <c r="AT32" s="71">
        <f t="shared" si="65"/>
        <v>15.078426912349105</v>
      </c>
      <c r="AU32" s="72">
        <f t="shared" si="65"/>
        <v>38.67520418547327</v>
      </c>
      <c r="AV32" s="73">
        <f t="shared" si="65"/>
        <v>36.545276482912698</v>
      </c>
      <c r="AW32" s="74">
        <f t="shared" si="65"/>
        <v>30.654872629775475</v>
      </c>
    </row>
    <row r="33" spans="1:49" ht="16.5" customHeight="1" x14ac:dyDescent="0.25">
      <c r="A33" s="75"/>
      <c r="B33" s="75"/>
      <c r="C33" s="76" t="s">
        <v>37</v>
      </c>
      <c r="D33" s="75"/>
      <c r="E33" s="75"/>
      <c r="F33" s="75"/>
      <c r="G33" s="77">
        <v>0.3</v>
      </c>
      <c r="H33" s="77">
        <v>0.03</v>
      </c>
      <c r="I33" s="77">
        <v>0.02</v>
      </c>
      <c r="J33" s="77">
        <v>0.01</v>
      </c>
      <c r="K33" s="77">
        <v>0.01</v>
      </c>
      <c r="L33" s="77">
        <v>0.01</v>
      </c>
      <c r="M33" s="77">
        <v>0.01</v>
      </c>
      <c r="N33" s="77">
        <v>0.01</v>
      </c>
      <c r="O33" s="77">
        <v>0.01</v>
      </c>
      <c r="P33" s="77">
        <v>0.01</v>
      </c>
      <c r="Q33" s="77">
        <v>0.01</v>
      </c>
      <c r="R33" s="77">
        <v>0</v>
      </c>
      <c r="S33" s="77">
        <v>0</v>
      </c>
      <c r="T33" s="77">
        <v>0</v>
      </c>
      <c r="U33" s="77">
        <v>0</v>
      </c>
      <c r="V33" s="77">
        <v>0</v>
      </c>
      <c r="W33" s="77">
        <v>0</v>
      </c>
      <c r="X33" s="77">
        <v>0</v>
      </c>
      <c r="Y33" s="77">
        <v>0</v>
      </c>
      <c r="Z33" s="77">
        <v>0</v>
      </c>
      <c r="AA33" s="77">
        <v>0</v>
      </c>
      <c r="AB33" s="77">
        <v>0</v>
      </c>
      <c r="AC33" s="77">
        <v>0</v>
      </c>
      <c r="AD33" s="77">
        <v>0</v>
      </c>
      <c r="AE33" s="77">
        <v>0</v>
      </c>
      <c r="AF33" s="77">
        <v>0</v>
      </c>
      <c r="AG33" s="77">
        <v>0</v>
      </c>
      <c r="AH33" s="77">
        <v>0</v>
      </c>
      <c r="AI33" s="77">
        <v>0</v>
      </c>
      <c r="AJ33" s="77">
        <v>0</v>
      </c>
      <c r="AK33" s="77">
        <v>0</v>
      </c>
      <c r="AL33" s="77">
        <v>0</v>
      </c>
      <c r="AM33" s="77">
        <v>0</v>
      </c>
      <c r="AN33" s="77">
        <v>0</v>
      </c>
      <c r="AO33" s="78">
        <v>0</v>
      </c>
      <c r="AP33" s="79"/>
      <c r="AQ33" s="80"/>
      <c r="AR33" s="81"/>
      <c r="AS33" s="82"/>
      <c r="AT33" s="79"/>
      <c r="AU33" s="80"/>
      <c r="AV33" s="81"/>
      <c r="AW33" s="82"/>
    </row>
    <row r="34" spans="1:49" ht="16.5" customHeight="1" x14ac:dyDescent="0.25">
      <c r="A34" s="83"/>
      <c r="B34" s="83"/>
      <c r="C34" s="84" t="s">
        <v>38</v>
      </c>
      <c r="D34" s="85"/>
      <c r="E34" s="85"/>
      <c r="F34" s="85">
        <v>1200</v>
      </c>
      <c r="G34" s="85">
        <f>F34</f>
        <v>1200</v>
      </c>
      <c r="H34" s="85">
        <f t="shared" ref="H34:Q34" si="66">G34</f>
        <v>1200</v>
      </c>
      <c r="I34" s="85">
        <f t="shared" si="66"/>
        <v>1200</v>
      </c>
      <c r="J34" s="85">
        <f t="shared" si="66"/>
        <v>1200</v>
      </c>
      <c r="K34" s="85">
        <f t="shared" si="66"/>
        <v>1200</v>
      </c>
      <c r="L34" s="85">
        <f t="shared" si="66"/>
        <v>1200</v>
      </c>
      <c r="M34" s="85">
        <f t="shared" si="66"/>
        <v>1200</v>
      </c>
      <c r="N34" s="85">
        <f t="shared" si="66"/>
        <v>1200</v>
      </c>
      <c r="O34" s="85">
        <f t="shared" si="66"/>
        <v>1200</v>
      </c>
      <c r="P34" s="85">
        <f t="shared" si="66"/>
        <v>1200</v>
      </c>
      <c r="Q34" s="85">
        <f t="shared" si="66"/>
        <v>1200</v>
      </c>
      <c r="R34" s="85">
        <f>Q34*1.05</f>
        <v>1260</v>
      </c>
      <c r="S34" s="85">
        <f t="shared" ref="S34:AL34" si="67">R34</f>
        <v>1260</v>
      </c>
      <c r="T34" s="85">
        <f t="shared" si="67"/>
        <v>1260</v>
      </c>
      <c r="U34" s="85">
        <f t="shared" si="67"/>
        <v>1260</v>
      </c>
      <c r="V34" s="85">
        <f t="shared" si="67"/>
        <v>1260</v>
      </c>
      <c r="W34" s="85">
        <f t="shared" si="67"/>
        <v>1260</v>
      </c>
      <c r="X34" s="85">
        <f t="shared" si="67"/>
        <v>1260</v>
      </c>
      <c r="Y34" s="85">
        <f t="shared" si="67"/>
        <v>1260</v>
      </c>
      <c r="Z34" s="85">
        <f t="shared" si="67"/>
        <v>1260</v>
      </c>
      <c r="AA34" s="85">
        <f t="shared" si="67"/>
        <v>1260</v>
      </c>
      <c r="AB34" s="85">
        <f t="shared" si="67"/>
        <v>1260</v>
      </c>
      <c r="AC34" s="85">
        <f t="shared" si="67"/>
        <v>1260</v>
      </c>
      <c r="AD34" s="85">
        <f t="shared" si="67"/>
        <v>1260</v>
      </c>
      <c r="AE34" s="85">
        <f t="shared" si="67"/>
        <v>1260</v>
      </c>
      <c r="AF34" s="85">
        <f t="shared" si="67"/>
        <v>1260</v>
      </c>
      <c r="AG34" s="85">
        <f t="shared" si="67"/>
        <v>1260</v>
      </c>
      <c r="AH34" s="85">
        <f t="shared" si="67"/>
        <v>1260</v>
      </c>
      <c r="AI34" s="85">
        <f t="shared" si="67"/>
        <v>1260</v>
      </c>
      <c r="AJ34" s="85">
        <f t="shared" si="67"/>
        <v>1260</v>
      </c>
      <c r="AK34" s="85">
        <f t="shared" si="67"/>
        <v>1260</v>
      </c>
      <c r="AL34" s="85">
        <f t="shared" si="67"/>
        <v>1260</v>
      </c>
      <c r="AM34" s="85">
        <f>AL34*1.05</f>
        <v>1323</v>
      </c>
      <c r="AN34" s="85">
        <f t="shared" ref="AN34:AO34" si="68">AM34</f>
        <v>1323</v>
      </c>
      <c r="AO34" s="85">
        <f t="shared" si="68"/>
        <v>1323</v>
      </c>
      <c r="AP34" s="86">
        <f t="shared" ref="AP34:AW34" si="69">AP3/SUM(AP36,AP46)</f>
        <v>1087.9087173149155</v>
      </c>
      <c r="AQ34" s="87">
        <f t="shared" si="69"/>
        <v>1146.7410732918643</v>
      </c>
      <c r="AR34" s="88">
        <f t="shared" si="69"/>
        <v>1162.4492322238059</v>
      </c>
      <c r="AS34" s="89">
        <f t="shared" si="69"/>
        <v>1921.8014984339377</v>
      </c>
      <c r="AT34" s="86">
        <f t="shared" si="69"/>
        <v>1087.9087173149153</v>
      </c>
      <c r="AU34" s="87">
        <f t="shared" si="69"/>
        <v>1146.7410732918643</v>
      </c>
      <c r="AV34" s="88">
        <f t="shared" si="69"/>
        <v>1162.4492322238059</v>
      </c>
      <c r="AW34" s="89">
        <f t="shared" si="69"/>
        <v>1144.2034480335462</v>
      </c>
    </row>
    <row r="35" spans="1:49" ht="9" customHeight="1" x14ac:dyDescent="0.25">
      <c r="A35" s="90"/>
      <c r="B35" s="90"/>
      <c r="C35" s="90"/>
      <c r="D35" s="90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</row>
    <row r="36" spans="1:49" ht="16.5" customHeight="1" x14ac:dyDescent="0.25">
      <c r="A36" s="92"/>
      <c r="B36" s="92"/>
      <c r="C36" s="93" t="s">
        <v>39</v>
      </c>
      <c r="D36" s="94"/>
      <c r="E36" s="95"/>
      <c r="F36" s="96">
        <f>F4/F34</f>
        <v>25</v>
      </c>
      <c r="G36" s="96">
        <f t="shared" ref="G36:AO36" si="70">G3/G34</f>
        <v>45.3</v>
      </c>
      <c r="H36" s="96">
        <f t="shared" si="70"/>
        <v>50.555</v>
      </c>
      <c r="I36" s="96">
        <f t="shared" si="70"/>
        <v>57.432499999999997</v>
      </c>
      <c r="J36" s="96">
        <f t="shared" si="70"/>
        <v>58.415244999999999</v>
      </c>
      <c r="K36" s="96">
        <f t="shared" si="70"/>
        <v>59.46553445</v>
      </c>
      <c r="L36" s="96">
        <f t="shared" si="70"/>
        <v>60.589815494500002</v>
      </c>
      <c r="M36" s="96">
        <f t="shared" si="70"/>
        <v>78.670176919445012</v>
      </c>
      <c r="N36" s="96">
        <f t="shared" si="70"/>
        <v>83.339413285639466</v>
      </c>
      <c r="O36" s="96">
        <f t="shared" si="70"/>
        <v>88.443595475195863</v>
      </c>
      <c r="P36" s="96">
        <f t="shared" si="70"/>
        <v>138.94714829231785</v>
      </c>
      <c r="Q36" s="96">
        <f t="shared" si="70"/>
        <v>149.54718582384803</v>
      </c>
      <c r="R36" s="96">
        <f t="shared" si="70"/>
        <v>160.89257671052323</v>
      </c>
      <c r="S36" s="96">
        <f t="shared" si="70"/>
        <v>173.27567106476158</v>
      </c>
      <c r="T36" s="96">
        <f t="shared" si="70"/>
        <v>186.89707485442369</v>
      </c>
      <c r="U36" s="96">
        <f t="shared" si="70"/>
        <v>201.88061902305205</v>
      </c>
      <c r="V36" s="96">
        <f t="shared" si="70"/>
        <v>201.88061902305205</v>
      </c>
      <c r="W36" s="96">
        <f t="shared" si="70"/>
        <v>201.88061902305205</v>
      </c>
      <c r="X36" s="96">
        <f t="shared" si="70"/>
        <v>201.88061902305205</v>
      </c>
      <c r="Y36" s="96">
        <f t="shared" si="70"/>
        <v>201.88061902305205</v>
      </c>
      <c r="Z36" s="96">
        <f t="shared" si="70"/>
        <v>201.88061902305205</v>
      </c>
      <c r="AA36" s="96">
        <f t="shared" si="70"/>
        <v>201.88061902305205</v>
      </c>
      <c r="AB36" s="96">
        <f t="shared" si="70"/>
        <v>201.88061902305205</v>
      </c>
      <c r="AC36" s="96">
        <f t="shared" si="70"/>
        <v>204.70645851164423</v>
      </c>
      <c r="AD36" s="96">
        <f t="shared" si="70"/>
        <v>204.70645851164423</v>
      </c>
      <c r="AE36" s="96">
        <f t="shared" si="70"/>
        <v>204.70645851164423</v>
      </c>
      <c r="AF36" s="96">
        <f t="shared" si="70"/>
        <v>207.64087127238372</v>
      </c>
      <c r="AG36" s="96">
        <f t="shared" si="70"/>
        <v>207.64087127238372</v>
      </c>
      <c r="AH36" s="96">
        <f t="shared" si="70"/>
        <v>207.64087127238372</v>
      </c>
      <c r="AI36" s="96">
        <f t="shared" si="70"/>
        <v>207.64087127238372</v>
      </c>
      <c r="AJ36" s="96">
        <f t="shared" si="70"/>
        <v>207.64087127238372</v>
      </c>
      <c r="AK36" s="96">
        <f t="shared" si="70"/>
        <v>207.64087127238372</v>
      </c>
      <c r="AL36" s="96">
        <f t="shared" si="70"/>
        <v>207.64087127238372</v>
      </c>
      <c r="AM36" s="96">
        <f t="shared" si="70"/>
        <v>205.60173387155177</v>
      </c>
      <c r="AN36" s="96">
        <f t="shared" si="70"/>
        <v>205.60173387155177</v>
      </c>
      <c r="AO36" s="97">
        <f t="shared" si="70"/>
        <v>205.60173387155177</v>
      </c>
      <c r="AP36" s="98">
        <f t="shared" ref="AP36:AP37" si="71">SUM(F36:Q36)</f>
        <v>895.70561474094609</v>
      </c>
      <c r="AQ36" s="99">
        <f t="shared" ref="AQ36:AQ37" si="72">SUM(R36:AC36)</f>
        <v>2340.8167333257693</v>
      </c>
      <c r="AR36" s="100">
        <f t="shared" ref="AR36:AS36" si="73">SUM(AD36:AO36)</f>
        <v>2479.70421754463</v>
      </c>
      <c r="AS36" s="101">
        <f t="shared" si="73"/>
        <v>3170.7033737739316</v>
      </c>
      <c r="AT36" s="98">
        <f t="shared" ref="AT36:AV36" si="74">AP36/12</f>
        <v>74.642134561745507</v>
      </c>
      <c r="AU36" s="99">
        <f t="shared" si="74"/>
        <v>195.06806111048078</v>
      </c>
      <c r="AV36" s="100">
        <f t="shared" si="74"/>
        <v>206.64201812871917</v>
      </c>
      <c r="AW36" s="101">
        <f t="shared" ref="AW36:AW37" si="75">SUM(AT36:AV36)</f>
        <v>476.35221380094549</v>
      </c>
    </row>
    <row r="37" spans="1:49" ht="16.5" customHeight="1" x14ac:dyDescent="0.25">
      <c r="A37" s="65"/>
      <c r="B37" s="65"/>
      <c r="C37" s="102" t="s">
        <v>40</v>
      </c>
      <c r="D37" s="103"/>
      <c r="E37" s="104">
        <v>1</v>
      </c>
      <c r="F37" s="105">
        <f t="shared" ref="F37:AO37" si="76">F36*$E$37</f>
        <v>25</v>
      </c>
      <c r="G37" s="105">
        <f t="shared" si="76"/>
        <v>45.3</v>
      </c>
      <c r="H37" s="105">
        <f t="shared" si="76"/>
        <v>50.555</v>
      </c>
      <c r="I37" s="105">
        <f t="shared" si="76"/>
        <v>57.432499999999997</v>
      </c>
      <c r="J37" s="105">
        <f t="shared" si="76"/>
        <v>58.415244999999999</v>
      </c>
      <c r="K37" s="105">
        <f t="shared" si="76"/>
        <v>59.46553445</v>
      </c>
      <c r="L37" s="105">
        <f t="shared" si="76"/>
        <v>60.589815494500002</v>
      </c>
      <c r="M37" s="105">
        <f t="shared" si="76"/>
        <v>78.670176919445012</v>
      </c>
      <c r="N37" s="105">
        <f t="shared" si="76"/>
        <v>83.339413285639466</v>
      </c>
      <c r="O37" s="105">
        <f t="shared" si="76"/>
        <v>88.443595475195863</v>
      </c>
      <c r="P37" s="105">
        <f t="shared" si="76"/>
        <v>138.94714829231785</v>
      </c>
      <c r="Q37" s="105">
        <f t="shared" si="76"/>
        <v>149.54718582384803</v>
      </c>
      <c r="R37" s="105">
        <f t="shared" si="76"/>
        <v>160.89257671052323</v>
      </c>
      <c r="S37" s="105">
        <f t="shared" si="76"/>
        <v>173.27567106476158</v>
      </c>
      <c r="T37" s="105">
        <f t="shared" si="76"/>
        <v>186.89707485442369</v>
      </c>
      <c r="U37" s="105">
        <f t="shared" si="76"/>
        <v>201.88061902305205</v>
      </c>
      <c r="V37" s="105">
        <f t="shared" si="76"/>
        <v>201.88061902305205</v>
      </c>
      <c r="W37" s="105">
        <f t="shared" si="76"/>
        <v>201.88061902305205</v>
      </c>
      <c r="X37" s="105">
        <f t="shared" si="76"/>
        <v>201.88061902305205</v>
      </c>
      <c r="Y37" s="105">
        <f t="shared" si="76"/>
        <v>201.88061902305205</v>
      </c>
      <c r="Z37" s="105">
        <f t="shared" si="76"/>
        <v>201.88061902305205</v>
      </c>
      <c r="AA37" s="105">
        <f t="shared" si="76"/>
        <v>201.88061902305205</v>
      </c>
      <c r="AB37" s="105">
        <f t="shared" si="76"/>
        <v>201.88061902305205</v>
      </c>
      <c r="AC37" s="105">
        <f t="shared" si="76"/>
        <v>204.70645851164423</v>
      </c>
      <c r="AD37" s="105">
        <f t="shared" si="76"/>
        <v>204.70645851164423</v>
      </c>
      <c r="AE37" s="105">
        <f t="shared" si="76"/>
        <v>204.70645851164423</v>
      </c>
      <c r="AF37" s="105">
        <f t="shared" si="76"/>
        <v>207.64087127238372</v>
      </c>
      <c r="AG37" s="105">
        <f t="shared" si="76"/>
        <v>207.64087127238372</v>
      </c>
      <c r="AH37" s="105">
        <f t="shared" si="76"/>
        <v>207.64087127238372</v>
      </c>
      <c r="AI37" s="105">
        <f t="shared" si="76"/>
        <v>207.64087127238372</v>
      </c>
      <c r="AJ37" s="105">
        <f t="shared" si="76"/>
        <v>207.64087127238372</v>
      </c>
      <c r="AK37" s="105">
        <f t="shared" si="76"/>
        <v>207.64087127238372</v>
      </c>
      <c r="AL37" s="105">
        <f t="shared" si="76"/>
        <v>207.64087127238372</v>
      </c>
      <c r="AM37" s="105">
        <f t="shared" si="76"/>
        <v>205.60173387155177</v>
      </c>
      <c r="AN37" s="105">
        <f t="shared" si="76"/>
        <v>205.60173387155177</v>
      </c>
      <c r="AO37" s="106">
        <f t="shared" si="76"/>
        <v>205.60173387155177</v>
      </c>
      <c r="AP37" s="107">
        <f t="shared" si="71"/>
        <v>895.70561474094609</v>
      </c>
      <c r="AQ37" s="108">
        <f t="shared" si="72"/>
        <v>2340.8167333257693</v>
      </c>
      <c r="AR37" s="109">
        <f t="shared" ref="AR37:AS37" si="77">SUM(AD37:AO37)</f>
        <v>2479.70421754463</v>
      </c>
      <c r="AS37" s="110">
        <f t="shared" si="77"/>
        <v>3170.7033737739316</v>
      </c>
      <c r="AT37" s="107">
        <f t="shared" ref="AT37:AV37" si="78">AP37/12</f>
        <v>74.642134561745507</v>
      </c>
      <c r="AU37" s="108">
        <f t="shared" si="78"/>
        <v>195.06806111048078</v>
      </c>
      <c r="AV37" s="109">
        <f t="shared" si="78"/>
        <v>206.64201812871917</v>
      </c>
      <c r="AW37" s="110">
        <f t="shared" si="75"/>
        <v>476.35221380094549</v>
      </c>
    </row>
    <row r="38" spans="1:49" ht="9" customHeight="1" x14ac:dyDescent="0.25">
      <c r="A38" s="65"/>
      <c r="B38" s="65"/>
      <c r="C38" s="92"/>
      <c r="D38" s="111"/>
      <c r="E38" s="112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4"/>
      <c r="AQ38" s="114"/>
      <c r="AR38" s="114"/>
      <c r="AS38" s="115"/>
      <c r="AT38" s="114"/>
      <c r="AU38" s="114"/>
      <c r="AV38" s="114"/>
      <c r="AW38" s="115"/>
    </row>
    <row r="39" spans="1:49" ht="13.5" customHeight="1" x14ac:dyDescent="0.3">
      <c r="A39" s="116"/>
      <c r="B39" s="116"/>
      <c r="C39" s="117" t="s">
        <v>41</v>
      </c>
      <c r="D39" s="118"/>
      <c r="E39" s="119"/>
      <c r="F39" s="119">
        <f t="shared" ref="F39:AO39" si="79">F40*F41</f>
        <v>5</v>
      </c>
      <c r="G39" s="119">
        <f t="shared" si="79"/>
        <v>7.5</v>
      </c>
      <c r="H39" s="119">
        <f t="shared" si="79"/>
        <v>11.25</v>
      </c>
      <c r="I39" s="119">
        <f t="shared" si="79"/>
        <v>16.875</v>
      </c>
      <c r="J39" s="119">
        <f t="shared" si="79"/>
        <v>16.875</v>
      </c>
      <c r="K39" s="119">
        <f t="shared" si="79"/>
        <v>16.875</v>
      </c>
      <c r="L39" s="119">
        <f t="shared" si="79"/>
        <v>16.875</v>
      </c>
      <c r="M39" s="119">
        <f t="shared" si="79"/>
        <v>33.75</v>
      </c>
      <c r="N39" s="119">
        <f t="shared" si="79"/>
        <v>37.125000000000007</v>
      </c>
      <c r="O39" s="119">
        <f t="shared" si="79"/>
        <v>40.837500000000013</v>
      </c>
      <c r="P39" s="119">
        <f t="shared" si="79"/>
        <v>89.842500000000015</v>
      </c>
      <c r="Q39" s="119">
        <f t="shared" si="79"/>
        <v>98.826750000000033</v>
      </c>
      <c r="R39" s="119">
        <f t="shared" si="79"/>
        <v>108.70942500000005</v>
      </c>
      <c r="S39" s="119">
        <f t="shared" si="79"/>
        <v>119.58036750000007</v>
      </c>
      <c r="T39" s="119">
        <f t="shared" si="79"/>
        <v>131.53840425000007</v>
      </c>
      <c r="U39" s="119">
        <f t="shared" si="79"/>
        <v>144.6922446750001</v>
      </c>
      <c r="V39" s="119">
        <f t="shared" si="79"/>
        <v>144.6922446750001</v>
      </c>
      <c r="W39" s="119">
        <f t="shared" si="79"/>
        <v>144.6922446750001</v>
      </c>
      <c r="X39" s="119">
        <f t="shared" si="79"/>
        <v>144.6922446750001</v>
      </c>
      <c r="Y39" s="119">
        <f t="shared" si="79"/>
        <v>144.6922446750001</v>
      </c>
      <c r="Z39" s="119">
        <f t="shared" si="79"/>
        <v>144.6922446750001</v>
      </c>
      <c r="AA39" s="119">
        <f t="shared" si="79"/>
        <v>144.6922446750001</v>
      </c>
      <c r="AB39" s="119">
        <f t="shared" si="79"/>
        <v>144.6922446750001</v>
      </c>
      <c r="AC39" s="119">
        <f t="shared" si="79"/>
        <v>144.6922446750001</v>
      </c>
      <c r="AD39" s="119">
        <f t="shared" si="79"/>
        <v>144.6922446750001</v>
      </c>
      <c r="AE39" s="119">
        <f t="shared" si="79"/>
        <v>144.6922446750001</v>
      </c>
      <c r="AF39" s="119">
        <f t="shared" si="79"/>
        <v>144.6922446750001</v>
      </c>
      <c r="AG39" s="119">
        <f t="shared" si="79"/>
        <v>144.6922446750001</v>
      </c>
      <c r="AH39" s="119">
        <f t="shared" si="79"/>
        <v>144.6922446750001</v>
      </c>
      <c r="AI39" s="119">
        <f t="shared" si="79"/>
        <v>144.6922446750001</v>
      </c>
      <c r="AJ39" s="119">
        <f t="shared" si="79"/>
        <v>144.6922446750001</v>
      </c>
      <c r="AK39" s="119">
        <f t="shared" si="79"/>
        <v>144.6922446750001</v>
      </c>
      <c r="AL39" s="119">
        <f t="shared" si="79"/>
        <v>144.6922446750001</v>
      </c>
      <c r="AM39" s="119">
        <f t="shared" si="79"/>
        <v>144.6922446750001</v>
      </c>
      <c r="AN39" s="119">
        <f t="shared" si="79"/>
        <v>144.6922446750001</v>
      </c>
      <c r="AO39" s="120">
        <f t="shared" si="79"/>
        <v>144.6922446750001</v>
      </c>
      <c r="AP39" s="121">
        <f t="shared" ref="AP39:AP40" si="80">SUM(F39:Q39)</f>
        <v>391.63175000000001</v>
      </c>
      <c r="AQ39" s="119">
        <f t="shared" ref="AQ39:AQ40" si="81">SUM(R39:AC39)</f>
        <v>1662.0583988250005</v>
      </c>
      <c r="AR39" s="120">
        <f t="shared" ref="AR39:AR40" si="82">SUM(AD39:AO39)</f>
        <v>1736.3069361000007</v>
      </c>
      <c r="AS39" s="122">
        <f t="shared" ref="AS39:AS40" si="83">SUM(AP39:AR39)</f>
        <v>3789.9970849250012</v>
      </c>
      <c r="AT39" s="121">
        <f t="shared" ref="AT39:AV39" si="84">AP39/12</f>
        <v>32.635979166666665</v>
      </c>
      <c r="AU39" s="119">
        <f t="shared" si="84"/>
        <v>138.50486656875003</v>
      </c>
      <c r="AV39" s="120">
        <f t="shared" si="84"/>
        <v>144.69224467500007</v>
      </c>
      <c r="AW39" s="122">
        <f t="shared" ref="AW39:AW40" si="85">AVERAGE(AT39:AV39)</f>
        <v>105.27769680347224</v>
      </c>
    </row>
    <row r="40" spans="1:49" ht="13.5" customHeight="1" x14ac:dyDescent="0.3">
      <c r="A40" s="123"/>
      <c r="B40" s="123"/>
      <c r="C40" s="124"/>
      <c r="D40" s="123" t="s">
        <v>42</v>
      </c>
      <c r="E40" s="125" t="s">
        <v>43</v>
      </c>
      <c r="F40" s="125">
        <v>1000</v>
      </c>
      <c r="G40" s="125">
        <f>F40*1.5</f>
        <v>1500</v>
      </c>
      <c r="H40" s="125">
        <f>G40*1.5</f>
        <v>2250</v>
      </c>
      <c r="I40" s="125">
        <f>H40*1.5</f>
        <v>3375</v>
      </c>
      <c r="J40" s="125">
        <f>I40</f>
        <v>3375</v>
      </c>
      <c r="K40" s="125">
        <f>J40</f>
        <v>3375</v>
      </c>
      <c r="L40" s="125">
        <f>K40</f>
        <v>3375</v>
      </c>
      <c r="M40" s="125">
        <f t="shared" ref="M40" si="86">L40*2</f>
        <v>6750</v>
      </c>
      <c r="N40" s="125">
        <f t="shared" ref="N40:U40" si="87">M40*1.1</f>
        <v>7425.0000000000009</v>
      </c>
      <c r="O40" s="125">
        <f t="shared" si="87"/>
        <v>8167.5000000000018</v>
      </c>
      <c r="P40" s="125">
        <f t="shared" si="87"/>
        <v>8984.2500000000018</v>
      </c>
      <c r="Q40" s="125">
        <f t="shared" si="87"/>
        <v>9882.6750000000029</v>
      </c>
      <c r="R40" s="125">
        <f t="shared" si="87"/>
        <v>10870.942500000005</v>
      </c>
      <c r="S40" s="125">
        <f t="shared" si="87"/>
        <v>11958.036750000007</v>
      </c>
      <c r="T40" s="125">
        <f t="shared" si="87"/>
        <v>13153.840425000008</v>
      </c>
      <c r="U40" s="125">
        <f t="shared" si="87"/>
        <v>14469.224467500009</v>
      </c>
      <c r="V40" s="125">
        <f t="shared" ref="V40:AO40" si="88">U40</f>
        <v>14469.224467500009</v>
      </c>
      <c r="W40" s="125">
        <f t="shared" si="88"/>
        <v>14469.224467500009</v>
      </c>
      <c r="X40" s="125">
        <f t="shared" si="88"/>
        <v>14469.224467500009</v>
      </c>
      <c r="Y40" s="125">
        <f t="shared" si="88"/>
        <v>14469.224467500009</v>
      </c>
      <c r="Z40" s="125">
        <f t="shared" si="88"/>
        <v>14469.224467500009</v>
      </c>
      <c r="AA40" s="125">
        <f t="shared" si="88"/>
        <v>14469.224467500009</v>
      </c>
      <c r="AB40" s="125">
        <f t="shared" si="88"/>
        <v>14469.224467500009</v>
      </c>
      <c r="AC40" s="125">
        <f t="shared" si="88"/>
        <v>14469.224467500009</v>
      </c>
      <c r="AD40" s="125">
        <f t="shared" si="88"/>
        <v>14469.224467500009</v>
      </c>
      <c r="AE40" s="125">
        <f t="shared" si="88"/>
        <v>14469.224467500009</v>
      </c>
      <c r="AF40" s="125">
        <f t="shared" si="88"/>
        <v>14469.224467500009</v>
      </c>
      <c r="AG40" s="125">
        <f t="shared" si="88"/>
        <v>14469.224467500009</v>
      </c>
      <c r="AH40" s="125">
        <f t="shared" si="88"/>
        <v>14469.224467500009</v>
      </c>
      <c r="AI40" s="125">
        <f t="shared" si="88"/>
        <v>14469.224467500009</v>
      </c>
      <c r="AJ40" s="125">
        <f t="shared" si="88"/>
        <v>14469.224467500009</v>
      </c>
      <c r="AK40" s="125">
        <f t="shared" si="88"/>
        <v>14469.224467500009</v>
      </c>
      <c r="AL40" s="125">
        <f t="shared" si="88"/>
        <v>14469.224467500009</v>
      </c>
      <c r="AM40" s="125">
        <f t="shared" si="88"/>
        <v>14469.224467500009</v>
      </c>
      <c r="AN40" s="125">
        <f t="shared" si="88"/>
        <v>14469.224467500009</v>
      </c>
      <c r="AO40" s="125">
        <f t="shared" si="88"/>
        <v>14469.224467500009</v>
      </c>
      <c r="AP40" s="126">
        <f t="shared" si="80"/>
        <v>59459.425000000003</v>
      </c>
      <c r="AQ40" s="125">
        <f t="shared" si="81"/>
        <v>166205.83988250009</v>
      </c>
      <c r="AR40" s="127">
        <f t="shared" si="82"/>
        <v>173630.69361000007</v>
      </c>
      <c r="AS40" s="128">
        <f t="shared" si="83"/>
        <v>399295.95849250018</v>
      </c>
      <c r="AT40" s="126">
        <f t="shared" ref="AT40:AV40" si="89">AP40/12</f>
        <v>4954.9520833333336</v>
      </c>
      <c r="AU40" s="125">
        <f t="shared" si="89"/>
        <v>13850.486656875008</v>
      </c>
      <c r="AV40" s="127">
        <f t="shared" si="89"/>
        <v>14469.224467500006</v>
      </c>
      <c r="AW40" s="129">
        <f t="shared" si="85"/>
        <v>11091.554402569449</v>
      </c>
    </row>
    <row r="41" spans="1:49" ht="13.5" customHeight="1" x14ac:dyDescent="0.3">
      <c r="A41" s="130"/>
      <c r="B41" s="130"/>
      <c r="C41" s="131"/>
      <c r="D41" s="132"/>
      <c r="E41" s="133" t="s">
        <v>44</v>
      </c>
      <c r="F41" s="134">
        <v>5.0000000000000001E-3</v>
      </c>
      <c r="G41" s="134">
        <v>5.0000000000000001E-3</v>
      </c>
      <c r="H41" s="134">
        <v>5.0000000000000001E-3</v>
      </c>
      <c r="I41" s="134">
        <v>5.0000000000000001E-3</v>
      </c>
      <c r="J41" s="134">
        <v>5.0000000000000001E-3</v>
      </c>
      <c r="K41" s="134">
        <v>5.0000000000000001E-3</v>
      </c>
      <c r="L41" s="134">
        <v>5.0000000000000001E-3</v>
      </c>
      <c r="M41" s="134">
        <v>5.0000000000000001E-3</v>
      </c>
      <c r="N41" s="134">
        <v>5.0000000000000001E-3</v>
      </c>
      <c r="O41" s="134">
        <v>5.0000000000000001E-3</v>
      </c>
      <c r="P41" s="133">
        <v>0.01</v>
      </c>
      <c r="Q41" s="133">
        <v>0.01</v>
      </c>
      <c r="R41" s="133">
        <v>0.01</v>
      </c>
      <c r="S41" s="133">
        <v>0.01</v>
      </c>
      <c r="T41" s="133">
        <v>0.01</v>
      </c>
      <c r="U41" s="133">
        <v>0.01</v>
      </c>
      <c r="V41" s="133">
        <v>0.01</v>
      </c>
      <c r="W41" s="133">
        <v>0.01</v>
      </c>
      <c r="X41" s="133">
        <v>0.01</v>
      </c>
      <c r="Y41" s="133">
        <v>0.01</v>
      </c>
      <c r="Z41" s="133">
        <v>0.01</v>
      </c>
      <c r="AA41" s="133">
        <v>0.01</v>
      </c>
      <c r="AB41" s="133">
        <v>0.01</v>
      </c>
      <c r="AC41" s="133">
        <v>0.01</v>
      </c>
      <c r="AD41" s="133">
        <v>0.01</v>
      </c>
      <c r="AE41" s="133">
        <v>0.01</v>
      </c>
      <c r="AF41" s="133">
        <v>0.01</v>
      </c>
      <c r="AG41" s="133">
        <v>0.01</v>
      </c>
      <c r="AH41" s="133">
        <v>0.01</v>
      </c>
      <c r="AI41" s="133">
        <v>0.01</v>
      </c>
      <c r="AJ41" s="133">
        <v>0.01</v>
      </c>
      <c r="AK41" s="133">
        <v>0.01</v>
      </c>
      <c r="AL41" s="133">
        <v>0.01</v>
      </c>
      <c r="AM41" s="133">
        <v>0.01</v>
      </c>
      <c r="AN41" s="133">
        <v>0.01</v>
      </c>
      <c r="AO41" s="133">
        <v>0.01</v>
      </c>
      <c r="AP41" s="135">
        <f t="shared" ref="AP41:AW41" si="90">AP39/AP40</f>
        <v>6.5865377944707669E-3</v>
      </c>
      <c r="AQ41" s="133">
        <f t="shared" si="90"/>
        <v>9.9999999999999967E-3</v>
      </c>
      <c r="AR41" s="136">
        <f t="shared" si="90"/>
        <v>0.01</v>
      </c>
      <c r="AS41" s="137">
        <f t="shared" si="90"/>
        <v>9.4916990876485093E-3</v>
      </c>
      <c r="AT41" s="135">
        <f t="shared" si="90"/>
        <v>6.5865377944707669E-3</v>
      </c>
      <c r="AU41" s="133">
        <f t="shared" si="90"/>
        <v>9.9999999999999967E-3</v>
      </c>
      <c r="AV41" s="136">
        <f t="shared" si="90"/>
        <v>0.01</v>
      </c>
      <c r="AW41" s="137">
        <f t="shared" si="90"/>
        <v>9.4916990876485093E-3</v>
      </c>
    </row>
    <row r="42" spans="1:49" ht="9" customHeight="1" x14ac:dyDescent="0.3">
      <c r="A42" s="1"/>
      <c r="B42" s="1"/>
      <c r="C42" s="1"/>
      <c r="D42" s="1"/>
      <c r="E42" s="64"/>
      <c r="F42" s="6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t="13.5" customHeight="1" x14ac:dyDescent="0.3">
      <c r="A43" s="138"/>
      <c r="B43" s="138"/>
      <c r="C43" s="139" t="s">
        <v>45</v>
      </c>
      <c r="D43" s="140"/>
      <c r="E43" s="140"/>
      <c r="F43" s="140">
        <f t="shared" ref="F43:AW43" si="91">SUM(F36,F39)</f>
        <v>30</v>
      </c>
      <c r="G43" s="140">
        <f t="shared" si="91"/>
        <v>52.8</v>
      </c>
      <c r="H43" s="140">
        <f t="shared" si="91"/>
        <v>61.805</v>
      </c>
      <c r="I43" s="140">
        <f t="shared" si="91"/>
        <v>74.307500000000005</v>
      </c>
      <c r="J43" s="140">
        <f t="shared" si="91"/>
        <v>75.290244999999999</v>
      </c>
      <c r="K43" s="140">
        <f t="shared" si="91"/>
        <v>76.340534450000007</v>
      </c>
      <c r="L43" s="140">
        <f t="shared" si="91"/>
        <v>77.464815494500002</v>
      </c>
      <c r="M43" s="140">
        <f t="shared" si="91"/>
        <v>112.42017691944501</v>
      </c>
      <c r="N43" s="140">
        <f t="shared" si="91"/>
        <v>120.46441328563947</v>
      </c>
      <c r="O43" s="140">
        <f t="shared" si="91"/>
        <v>129.28109547519588</v>
      </c>
      <c r="P43" s="140">
        <f t="shared" si="91"/>
        <v>228.78964829231785</v>
      </c>
      <c r="Q43" s="140">
        <f t="shared" si="91"/>
        <v>248.37393582384806</v>
      </c>
      <c r="R43" s="140">
        <f t="shared" si="91"/>
        <v>269.60200171052327</v>
      </c>
      <c r="S43" s="140">
        <f t="shared" si="91"/>
        <v>292.85603856476166</v>
      </c>
      <c r="T43" s="140">
        <f t="shared" si="91"/>
        <v>318.43547910442373</v>
      </c>
      <c r="U43" s="140">
        <f t="shared" si="91"/>
        <v>346.57286369805217</v>
      </c>
      <c r="V43" s="140">
        <f t="shared" si="91"/>
        <v>346.57286369805217</v>
      </c>
      <c r="W43" s="140">
        <f t="shared" si="91"/>
        <v>346.57286369805217</v>
      </c>
      <c r="X43" s="140">
        <f t="shared" si="91"/>
        <v>346.57286369805217</v>
      </c>
      <c r="Y43" s="140">
        <f t="shared" si="91"/>
        <v>346.57286369805217</v>
      </c>
      <c r="Z43" s="140">
        <f t="shared" si="91"/>
        <v>346.57286369805217</v>
      </c>
      <c r="AA43" s="140">
        <f t="shared" si="91"/>
        <v>346.57286369805217</v>
      </c>
      <c r="AB43" s="140">
        <f t="shared" si="91"/>
        <v>346.57286369805217</v>
      </c>
      <c r="AC43" s="140">
        <f t="shared" si="91"/>
        <v>349.3987031866443</v>
      </c>
      <c r="AD43" s="140">
        <f t="shared" si="91"/>
        <v>349.3987031866443</v>
      </c>
      <c r="AE43" s="140">
        <f t="shared" si="91"/>
        <v>349.3987031866443</v>
      </c>
      <c r="AF43" s="140">
        <f t="shared" si="91"/>
        <v>352.33311594738382</v>
      </c>
      <c r="AG43" s="140">
        <f t="shared" si="91"/>
        <v>352.33311594738382</v>
      </c>
      <c r="AH43" s="140">
        <f t="shared" si="91"/>
        <v>352.33311594738382</v>
      </c>
      <c r="AI43" s="140">
        <f t="shared" si="91"/>
        <v>352.33311594738382</v>
      </c>
      <c r="AJ43" s="140">
        <f t="shared" si="91"/>
        <v>352.33311594738382</v>
      </c>
      <c r="AK43" s="140">
        <f t="shared" si="91"/>
        <v>352.33311594738382</v>
      </c>
      <c r="AL43" s="140">
        <f t="shared" si="91"/>
        <v>352.33311594738382</v>
      </c>
      <c r="AM43" s="140">
        <f t="shared" si="91"/>
        <v>350.2939785465519</v>
      </c>
      <c r="AN43" s="140">
        <f t="shared" si="91"/>
        <v>350.2939785465519</v>
      </c>
      <c r="AO43" s="140">
        <f t="shared" si="91"/>
        <v>350.2939785465519</v>
      </c>
      <c r="AP43" s="141">
        <f t="shared" si="91"/>
        <v>1287.3373647409462</v>
      </c>
      <c r="AQ43" s="140">
        <f t="shared" si="91"/>
        <v>4002.8751321507698</v>
      </c>
      <c r="AR43" s="142">
        <f t="shared" si="91"/>
        <v>4216.0111536446311</v>
      </c>
      <c r="AS43" s="143">
        <f t="shared" si="91"/>
        <v>6960.7004586989333</v>
      </c>
      <c r="AT43" s="140">
        <f t="shared" si="91"/>
        <v>107.27811372841217</v>
      </c>
      <c r="AU43" s="140">
        <f t="shared" si="91"/>
        <v>333.57292767923082</v>
      </c>
      <c r="AV43" s="140">
        <f t="shared" si="91"/>
        <v>351.33426280371924</v>
      </c>
      <c r="AW43" s="143">
        <f t="shared" si="91"/>
        <v>581.62991060441777</v>
      </c>
    </row>
    <row r="44" spans="1:49" ht="13.5" customHeight="1" x14ac:dyDescent="0.3">
      <c r="A44" s="144"/>
      <c r="B44" s="144"/>
      <c r="C44" s="145" t="s">
        <v>46</v>
      </c>
      <c r="D44" s="146"/>
      <c r="E44" s="147"/>
      <c r="F44" s="147">
        <f t="shared" ref="F44:AW44" si="92">F43*$E$37</f>
        <v>30</v>
      </c>
      <c r="G44" s="147">
        <f t="shared" si="92"/>
        <v>52.8</v>
      </c>
      <c r="H44" s="147">
        <f t="shared" si="92"/>
        <v>61.805</v>
      </c>
      <c r="I44" s="147">
        <f t="shared" si="92"/>
        <v>74.307500000000005</v>
      </c>
      <c r="J44" s="147">
        <f t="shared" si="92"/>
        <v>75.290244999999999</v>
      </c>
      <c r="K44" s="147">
        <f t="shared" si="92"/>
        <v>76.340534450000007</v>
      </c>
      <c r="L44" s="147">
        <f t="shared" si="92"/>
        <v>77.464815494500002</v>
      </c>
      <c r="M44" s="147">
        <f t="shared" si="92"/>
        <v>112.42017691944501</v>
      </c>
      <c r="N44" s="147">
        <f t="shared" si="92"/>
        <v>120.46441328563947</v>
      </c>
      <c r="O44" s="147">
        <f t="shared" si="92"/>
        <v>129.28109547519588</v>
      </c>
      <c r="P44" s="147">
        <f t="shared" si="92"/>
        <v>228.78964829231785</v>
      </c>
      <c r="Q44" s="147">
        <f t="shared" si="92"/>
        <v>248.37393582384806</v>
      </c>
      <c r="R44" s="147">
        <f t="shared" si="92"/>
        <v>269.60200171052327</v>
      </c>
      <c r="S44" s="147">
        <f t="shared" si="92"/>
        <v>292.85603856476166</v>
      </c>
      <c r="T44" s="147">
        <f t="shared" si="92"/>
        <v>318.43547910442373</v>
      </c>
      <c r="U44" s="147">
        <f t="shared" si="92"/>
        <v>346.57286369805217</v>
      </c>
      <c r="V44" s="147">
        <f t="shared" si="92"/>
        <v>346.57286369805217</v>
      </c>
      <c r="W44" s="147">
        <f t="shared" si="92"/>
        <v>346.57286369805217</v>
      </c>
      <c r="X44" s="147">
        <f t="shared" si="92"/>
        <v>346.57286369805217</v>
      </c>
      <c r="Y44" s="147">
        <f t="shared" si="92"/>
        <v>346.57286369805217</v>
      </c>
      <c r="Z44" s="147">
        <f t="shared" si="92"/>
        <v>346.57286369805217</v>
      </c>
      <c r="AA44" s="147">
        <f t="shared" si="92"/>
        <v>346.57286369805217</v>
      </c>
      <c r="AB44" s="147">
        <f t="shared" si="92"/>
        <v>346.57286369805217</v>
      </c>
      <c r="AC44" s="147">
        <f t="shared" si="92"/>
        <v>349.3987031866443</v>
      </c>
      <c r="AD44" s="147">
        <f t="shared" si="92"/>
        <v>349.3987031866443</v>
      </c>
      <c r="AE44" s="147">
        <f t="shared" si="92"/>
        <v>349.3987031866443</v>
      </c>
      <c r="AF44" s="147">
        <f t="shared" si="92"/>
        <v>352.33311594738382</v>
      </c>
      <c r="AG44" s="147">
        <f t="shared" si="92"/>
        <v>352.33311594738382</v>
      </c>
      <c r="AH44" s="147">
        <f t="shared" si="92"/>
        <v>352.33311594738382</v>
      </c>
      <c r="AI44" s="147">
        <f t="shared" si="92"/>
        <v>352.33311594738382</v>
      </c>
      <c r="AJ44" s="147">
        <f t="shared" si="92"/>
        <v>352.33311594738382</v>
      </c>
      <c r="AK44" s="147">
        <f t="shared" si="92"/>
        <v>352.33311594738382</v>
      </c>
      <c r="AL44" s="147">
        <f t="shared" si="92"/>
        <v>352.33311594738382</v>
      </c>
      <c r="AM44" s="147">
        <f t="shared" si="92"/>
        <v>350.2939785465519</v>
      </c>
      <c r="AN44" s="147">
        <f t="shared" si="92"/>
        <v>350.2939785465519</v>
      </c>
      <c r="AO44" s="147">
        <f t="shared" si="92"/>
        <v>350.2939785465519</v>
      </c>
      <c r="AP44" s="148">
        <f t="shared" si="92"/>
        <v>1287.3373647409462</v>
      </c>
      <c r="AQ44" s="147">
        <f t="shared" si="92"/>
        <v>4002.8751321507698</v>
      </c>
      <c r="AR44" s="149">
        <f t="shared" si="92"/>
        <v>4216.0111536446311</v>
      </c>
      <c r="AS44" s="150">
        <f t="shared" si="92"/>
        <v>6960.7004586989333</v>
      </c>
      <c r="AT44" s="147">
        <f t="shared" si="92"/>
        <v>107.27811372841217</v>
      </c>
      <c r="AU44" s="147">
        <f t="shared" si="92"/>
        <v>333.57292767923082</v>
      </c>
      <c r="AV44" s="147">
        <f t="shared" si="92"/>
        <v>351.33426280371924</v>
      </c>
      <c r="AW44" s="150">
        <f t="shared" si="92"/>
        <v>581.62991060441777</v>
      </c>
    </row>
    <row r="45" spans="1:49" ht="9" customHeight="1" x14ac:dyDescent="0.3">
      <c r="A45" s="1"/>
      <c r="B45" s="1"/>
      <c r="C45" s="1"/>
      <c r="D45" s="1"/>
      <c r="E45" s="64"/>
      <c r="F45" s="6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t="13.5" customHeight="1" x14ac:dyDescent="0.3">
      <c r="A46" s="29"/>
      <c r="B46" s="29"/>
      <c r="C46" s="151" t="s">
        <v>47</v>
      </c>
      <c r="D46" s="152"/>
      <c r="E46" s="153"/>
      <c r="F46" s="154">
        <f t="shared" ref="F46:AO46" si="93">SUM(F47:F50)</f>
        <v>4</v>
      </c>
      <c r="G46" s="154">
        <f t="shared" si="93"/>
        <v>5.3000000000000007</v>
      </c>
      <c r="H46" s="154">
        <f t="shared" si="93"/>
        <v>5.83</v>
      </c>
      <c r="I46" s="154">
        <f t="shared" si="93"/>
        <v>6.4130000000000011</v>
      </c>
      <c r="J46" s="154">
        <f t="shared" si="93"/>
        <v>7.0543000000000013</v>
      </c>
      <c r="K46" s="154">
        <f t="shared" si="93"/>
        <v>7.7597300000000029</v>
      </c>
      <c r="L46" s="154">
        <f t="shared" si="93"/>
        <v>8.5357030000000051</v>
      </c>
      <c r="M46" s="154">
        <f t="shared" si="93"/>
        <v>9.3892733000000064</v>
      </c>
      <c r="N46" s="154">
        <f t="shared" si="93"/>
        <v>10.328200630000008</v>
      </c>
      <c r="O46" s="154">
        <f t="shared" si="93"/>
        <v>11.361020693000007</v>
      </c>
      <c r="P46" s="154">
        <f t="shared" si="93"/>
        <v>12.497122762300013</v>
      </c>
      <c r="Q46" s="154">
        <f t="shared" si="93"/>
        <v>13.746835038530012</v>
      </c>
      <c r="R46" s="154">
        <f t="shared" si="93"/>
        <v>15.121518542383017</v>
      </c>
      <c r="S46" s="154">
        <f t="shared" si="93"/>
        <v>16.633670396621319</v>
      </c>
      <c r="T46" s="154">
        <f t="shared" si="93"/>
        <v>18.297037436283453</v>
      </c>
      <c r="U46" s="154">
        <f t="shared" si="93"/>
        <v>20.126741179911797</v>
      </c>
      <c r="V46" s="154">
        <f t="shared" si="93"/>
        <v>20.126741179911797</v>
      </c>
      <c r="W46" s="154">
        <f t="shared" si="93"/>
        <v>20.126741179911797</v>
      </c>
      <c r="X46" s="154">
        <f t="shared" si="93"/>
        <v>20.126741179911797</v>
      </c>
      <c r="Y46" s="154">
        <f t="shared" si="93"/>
        <v>20.126741179911797</v>
      </c>
      <c r="Z46" s="154">
        <f t="shared" si="93"/>
        <v>20.126741179911797</v>
      </c>
      <c r="AA46" s="154">
        <f t="shared" si="93"/>
        <v>20.126741179911797</v>
      </c>
      <c r="AB46" s="154">
        <f t="shared" si="93"/>
        <v>20.126741179911797</v>
      </c>
      <c r="AC46" s="154">
        <f t="shared" si="93"/>
        <v>20.126741179911797</v>
      </c>
      <c r="AD46" s="154">
        <f t="shared" si="93"/>
        <v>20.126741179911797</v>
      </c>
      <c r="AE46" s="154">
        <f t="shared" si="93"/>
        <v>20.126741179911797</v>
      </c>
      <c r="AF46" s="154">
        <f t="shared" si="93"/>
        <v>20.126741179911797</v>
      </c>
      <c r="AG46" s="154">
        <f t="shared" si="93"/>
        <v>20.126741179911797</v>
      </c>
      <c r="AH46" s="154">
        <f t="shared" si="93"/>
        <v>20.126741179911797</v>
      </c>
      <c r="AI46" s="154">
        <f t="shared" si="93"/>
        <v>20.126741179911797</v>
      </c>
      <c r="AJ46" s="154">
        <f t="shared" si="93"/>
        <v>20.126741179911797</v>
      </c>
      <c r="AK46" s="154">
        <f t="shared" si="93"/>
        <v>20.126741179911797</v>
      </c>
      <c r="AL46" s="154">
        <f t="shared" si="93"/>
        <v>20.126741179911797</v>
      </c>
      <c r="AM46" s="154">
        <f t="shared" si="93"/>
        <v>20.126741179911797</v>
      </c>
      <c r="AN46" s="154">
        <f t="shared" si="93"/>
        <v>20.126741179911797</v>
      </c>
      <c r="AO46" s="154">
        <f t="shared" si="93"/>
        <v>20.126741179911797</v>
      </c>
      <c r="AP46" s="155">
        <f t="shared" ref="AP46:AP51" si="94">SUM(F46:Q46)</f>
        <v>102.21518542383005</v>
      </c>
      <c r="AQ46" s="156">
        <f t="shared" ref="AQ46:AQ50" si="95">SUM(R46:AC46)</f>
        <v>231.19289699449391</v>
      </c>
      <c r="AR46" s="157">
        <f t="shared" ref="AR46:AR50" si="96">SUM(AD46:AO46)</f>
        <v>241.5208941589415</v>
      </c>
      <c r="AS46" s="158">
        <f t="shared" ref="AS46:AS51" si="97">SUM(AP46:AR46)</f>
        <v>574.92897657726542</v>
      </c>
      <c r="AT46" s="155">
        <f t="shared" ref="AT46:AV46" si="98">AP46/12</f>
        <v>8.5179321186525048</v>
      </c>
      <c r="AU46" s="156">
        <f t="shared" si="98"/>
        <v>19.266074749541158</v>
      </c>
      <c r="AV46" s="157">
        <f t="shared" si="98"/>
        <v>20.126741179911793</v>
      </c>
      <c r="AW46" s="158">
        <f t="shared" ref="AW46:AW51" si="99">SUM(AT46:AV46)</f>
        <v>47.910748048105461</v>
      </c>
    </row>
    <row r="47" spans="1:49" ht="13.5" customHeight="1" x14ac:dyDescent="0.3">
      <c r="A47" s="17"/>
      <c r="B47" s="17"/>
      <c r="C47" s="159"/>
      <c r="D47" s="17" t="s">
        <v>48</v>
      </c>
      <c r="E47" s="160"/>
      <c r="F47" s="161">
        <v>1</v>
      </c>
      <c r="G47" s="161">
        <f>F47*(1+G51)</f>
        <v>1.1000000000000001</v>
      </c>
      <c r="H47" s="161">
        <f t="shared" ref="H47:U47" si="100">G47*(1+H51)</f>
        <v>1.2100000000000002</v>
      </c>
      <c r="I47" s="161">
        <f t="shared" si="100"/>
        <v>1.3310000000000004</v>
      </c>
      <c r="J47" s="161">
        <f t="shared" si="100"/>
        <v>1.4641000000000006</v>
      </c>
      <c r="K47" s="161">
        <f t="shared" si="100"/>
        <v>1.6105100000000008</v>
      </c>
      <c r="L47" s="161">
        <f t="shared" si="100"/>
        <v>1.7715610000000011</v>
      </c>
      <c r="M47" s="161">
        <f t="shared" si="100"/>
        <v>1.9487171000000014</v>
      </c>
      <c r="N47" s="161">
        <f t="shared" si="100"/>
        <v>2.1435888100000016</v>
      </c>
      <c r="O47" s="161">
        <f t="shared" si="100"/>
        <v>2.3579476910000019</v>
      </c>
      <c r="P47" s="161">
        <f t="shared" si="100"/>
        <v>2.5937424601000023</v>
      </c>
      <c r="Q47" s="161">
        <f t="shared" si="100"/>
        <v>2.8531167061100029</v>
      </c>
      <c r="R47" s="161">
        <f t="shared" si="100"/>
        <v>3.1384283767210035</v>
      </c>
      <c r="S47" s="161">
        <f t="shared" si="100"/>
        <v>3.4522712143931042</v>
      </c>
      <c r="T47" s="161">
        <f t="shared" si="100"/>
        <v>3.7974983358324148</v>
      </c>
      <c r="U47" s="161">
        <f t="shared" si="100"/>
        <v>4.1772481694156562</v>
      </c>
      <c r="V47" s="161">
        <f t="shared" ref="V47:AO47" si="101">U47</f>
        <v>4.1772481694156562</v>
      </c>
      <c r="W47" s="161">
        <f t="shared" si="101"/>
        <v>4.1772481694156562</v>
      </c>
      <c r="X47" s="161">
        <f t="shared" si="101"/>
        <v>4.1772481694156562</v>
      </c>
      <c r="Y47" s="161">
        <f t="shared" si="101"/>
        <v>4.1772481694156562</v>
      </c>
      <c r="Z47" s="161">
        <f t="shared" si="101"/>
        <v>4.1772481694156562</v>
      </c>
      <c r="AA47" s="161">
        <f t="shared" si="101"/>
        <v>4.1772481694156562</v>
      </c>
      <c r="AB47" s="161">
        <f t="shared" si="101"/>
        <v>4.1772481694156562</v>
      </c>
      <c r="AC47" s="161">
        <f t="shared" si="101"/>
        <v>4.1772481694156562</v>
      </c>
      <c r="AD47" s="161">
        <f t="shared" si="101"/>
        <v>4.1772481694156562</v>
      </c>
      <c r="AE47" s="161">
        <f t="shared" si="101"/>
        <v>4.1772481694156562</v>
      </c>
      <c r="AF47" s="161">
        <f t="shared" si="101"/>
        <v>4.1772481694156562</v>
      </c>
      <c r="AG47" s="161">
        <f t="shared" si="101"/>
        <v>4.1772481694156562</v>
      </c>
      <c r="AH47" s="161">
        <f t="shared" si="101"/>
        <v>4.1772481694156562</v>
      </c>
      <c r="AI47" s="161">
        <f t="shared" si="101"/>
        <v>4.1772481694156562</v>
      </c>
      <c r="AJ47" s="161">
        <f t="shared" si="101"/>
        <v>4.1772481694156562</v>
      </c>
      <c r="AK47" s="161">
        <f t="shared" si="101"/>
        <v>4.1772481694156562</v>
      </c>
      <c r="AL47" s="161">
        <f t="shared" si="101"/>
        <v>4.1772481694156562</v>
      </c>
      <c r="AM47" s="161">
        <f t="shared" si="101"/>
        <v>4.1772481694156562</v>
      </c>
      <c r="AN47" s="161">
        <f t="shared" si="101"/>
        <v>4.1772481694156562</v>
      </c>
      <c r="AO47" s="161">
        <f t="shared" si="101"/>
        <v>4.1772481694156562</v>
      </c>
      <c r="AP47" s="162">
        <f t="shared" si="94"/>
        <v>21.384283767210015</v>
      </c>
      <c r="AQ47" s="163">
        <f t="shared" si="95"/>
        <v>47.983431451687423</v>
      </c>
      <c r="AR47" s="164">
        <f t="shared" si="96"/>
        <v>50.126978032987871</v>
      </c>
      <c r="AS47" s="165">
        <f t="shared" si="97"/>
        <v>119.49469325188531</v>
      </c>
      <c r="AT47" s="162">
        <f t="shared" ref="AT47:AV47" si="102">AP47/12</f>
        <v>1.7820236472675013</v>
      </c>
      <c r="AU47" s="163">
        <f t="shared" si="102"/>
        <v>3.9986192876406186</v>
      </c>
      <c r="AV47" s="164">
        <f t="shared" si="102"/>
        <v>4.1772481694156562</v>
      </c>
      <c r="AW47" s="165">
        <f t="shared" si="99"/>
        <v>9.9578911043237763</v>
      </c>
    </row>
    <row r="48" spans="1:49" ht="13.5" customHeight="1" x14ac:dyDescent="0.3">
      <c r="A48" s="17"/>
      <c r="B48" s="17"/>
      <c r="C48" s="159"/>
      <c r="D48" s="17" t="s">
        <v>54</v>
      </c>
      <c r="E48" s="160"/>
      <c r="F48" s="161">
        <v>1</v>
      </c>
      <c r="G48" s="161">
        <v>2</v>
      </c>
      <c r="H48" s="161">
        <f t="shared" ref="H48:U48" si="103">G48*(1+H51)</f>
        <v>2.2000000000000002</v>
      </c>
      <c r="I48" s="161">
        <f t="shared" si="103"/>
        <v>2.4200000000000004</v>
      </c>
      <c r="J48" s="161">
        <f t="shared" si="103"/>
        <v>2.6620000000000008</v>
      </c>
      <c r="K48" s="161">
        <f t="shared" si="103"/>
        <v>2.9282000000000012</v>
      </c>
      <c r="L48" s="161">
        <f t="shared" si="103"/>
        <v>3.2210200000000015</v>
      </c>
      <c r="M48" s="161">
        <f t="shared" si="103"/>
        <v>3.5431220000000021</v>
      </c>
      <c r="N48" s="161">
        <f t="shared" si="103"/>
        <v>3.8974342000000028</v>
      </c>
      <c r="O48" s="161">
        <f t="shared" si="103"/>
        <v>4.2871776200000031</v>
      </c>
      <c r="P48" s="161">
        <f t="shared" si="103"/>
        <v>4.7158953820000038</v>
      </c>
      <c r="Q48" s="161">
        <f t="shared" si="103"/>
        <v>5.1874849202000046</v>
      </c>
      <c r="R48" s="161">
        <f t="shared" si="103"/>
        <v>5.7062334122200058</v>
      </c>
      <c r="S48" s="161">
        <f t="shared" si="103"/>
        <v>6.276856753442007</v>
      </c>
      <c r="T48" s="161">
        <f t="shared" si="103"/>
        <v>6.9045424287862085</v>
      </c>
      <c r="U48" s="161">
        <f t="shared" si="103"/>
        <v>7.5949966716648296</v>
      </c>
      <c r="V48" s="161">
        <f t="shared" ref="V48:AO48" si="104">U48</f>
        <v>7.5949966716648296</v>
      </c>
      <c r="W48" s="161">
        <f t="shared" si="104"/>
        <v>7.5949966716648296</v>
      </c>
      <c r="X48" s="161">
        <f t="shared" si="104"/>
        <v>7.5949966716648296</v>
      </c>
      <c r="Y48" s="161">
        <f t="shared" si="104"/>
        <v>7.5949966716648296</v>
      </c>
      <c r="Z48" s="161">
        <f t="shared" si="104"/>
        <v>7.5949966716648296</v>
      </c>
      <c r="AA48" s="161">
        <f t="shared" si="104"/>
        <v>7.5949966716648296</v>
      </c>
      <c r="AB48" s="161">
        <f t="shared" si="104"/>
        <v>7.5949966716648296</v>
      </c>
      <c r="AC48" s="161">
        <f t="shared" si="104"/>
        <v>7.5949966716648296</v>
      </c>
      <c r="AD48" s="161">
        <f t="shared" si="104"/>
        <v>7.5949966716648296</v>
      </c>
      <c r="AE48" s="161">
        <f t="shared" si="104"/>
        <v>7.5949966716648296</v>
      </c>
      <c r="AF48" s="161">
        <f t="shared" si="104"/>
        <v>7.5949966716648296</v>
      </c>
      <c r="AG48" s="161">
        <f t="shared" si="104"/>
        <v>7.5949966716648296</v>
      </c>
      <c r="AH48" s="161">
        <f t="shared" si="104"/>
        <v>7.5949966716648296</v>
      </c>
      <c r="AI48" s="161">
        <f t="shared" si="104"/>
        <v>7.5949966716648296</v>
      </c>
      <c r="AJ48" s="161">
        <f t="shared" si="104"/>
        <v>7.5949966716648296</v>
      </c>
      <c r="AK48" s="161">
        <f t="shared" si="104"/>
        <v>7.5949966716648296</v>
      </c>
      <c r="AL48" s="161">
        <f t="shared" si="104"/>
        <v>7.5949966716648296</v>
      </c>
      <c r="AM48" s="161">
        <f t="shared" si="104"/>
        <v>7.5949966716648296</v>
      </c>
      <c r="AN48" s="161">
        <f t="shared" si="104"/>
        <v>7.5949966716648296</v>
      </c>
      <c r="AO48" s="161">
        <f t="shared" si="104"/>
        <v>7.5949966716648296</v>
      </c>
      <c r="AP48" s="162">
        <f t="shared" si="94"/>
        <v>38.062334122200028</v>
      </c>
      <c r="AQ48" s="163">
        <f t="shared" si="95"/>
        <v>87.242602639431695</v>
      </c>
      <c r="AR48" s="164">
        <f t="shared" si="96"/>
        <v>91.139960059977952</v>
      </c>
      <c r="AS48" s="165">
        <f t="shared" si="97"/>
        <v>216.44489682160969</v>
      </c>
      <c r="AT48" s="162">
        <f t="shared" ref="AT48:AV48" si="105">AP48/12</f>
        <v>3.1718611768500025</v>
      </c>
      <c r="AU48" s="163">
        <f t="shared" si="105"/>
        <v>7.2702168866193082</v>
      </c>
      <c r="AV48" s="164">
        <f t="shared" si="105"/>
        <v>7.5949966716648296</v>
      </c>
      <c r="AW48" s="165">
        <f t="shared" si="99"/>
        <v>18.037074735134141</v>
      </c>
    </row>
    <row r="49" spans="1:49" ht="13.5" customHeight="1" x14ac:dyDescent="0.3">
      <c r="A49" s="17"/>
      <c r="B49" s="17"/>
      <c r="C49" s="159"/>
      <c r="D49" s="17" t="s">
        <v>55</v>
      </c>
      <c r="E49" s="160"/>
      <c r="F49" s="161">
        <v>1</v>
      </c>
      <c r="G49" s="161">
        <f>F49*(1+G51)</f>
        <v>1.1000000000000001</v>
      </c>
      <c r="H49" s="161">
        <f t="shared" ref="H49:U49" si="106">G49*(1+H51)</f>
        <v>1.2100000000000002</v>
      </c>
      <c r="I49" s="161">
        <f t="shared" si="106"/>
        <v>1.3310000000000004</v>
      </c>
      <c r="J49" s="161">
        <f t="shared" si="106"/>
        <v>1.4641000000000006</v>
      </c>
      <c r="K49" s="161">
        <f t="shared" si="106"/>
        <v>1.6105100000000008</v>
      </c>
      <c r="L49" s="161">
        <f t="shared" si="106"/>
        <v>1.7715610000000011</v>
      </c>
      <c r="M49" s="161">
        <f t="shared" si="106"/>
        <v>1.9487171000000014</v>
      </c>
      <c r="N49" s="161">
        <f t="shared" si="106"/>
        <v>2.1435888100000016</v>
      </c>
      <c r="O49" s="161">
        <f t="shared" si="106"/>
        <v>2.3579476910000019</v>
      </c>
      <c r="P49" s="161">
        <f t="shared" si="106"/>
        <v>2.5937424601000023</v>
      </c>
      <c r="Q49" s="161">
        <f t="shared" si="106"/>
        <v>2.8531167061100029</v>
      </c>
      <c r="R49" s="161">
        <f t="shared" si="106"/>
        <v>3.1384283767210035</v>
      </c>
      <c r="S49" s="161">
        <f t="shared" si="106"/>
        <v>3.4522712143931042</v>
      </c>
      <c r="T49" s="161">
        <f t="shared" si="106"/>
        <v>3.7974983358324148</v>
      </c>
      <c r="U49" s="161">
        <f t="shared" si="106"/>
        <v>4.1772481694156562</v>
      </c>
      <c r="V49" s="161">
        <f t="shared" ref="V49:AO49" si="107">U49</f>
        <v>4.1772481694156562</v>
      </c>
      <c r="W49" s="161">
        <f t="shared" si="107"/>
        <v>4.1772481694156562</v>
      </c>
      <c r="X49" s="161">
        <f t="shared" si="107"/>
        <v>4.1772481694156562</v>
      </c>
      <c r="Y49" s="161">
        <f t="shared" si="107"/>
        <v>4.1772481694156562</v>
      </c>
      <c r="Z49" s="161">
        <f t="shared" si="107"/>
        <v>4.1772481694156562</v>
      </c>
      <c r="AA49" s="161">
        <f t="shared" si="107"/>
        <v>4.1772481694156562</v>
      </c>
      <c r="AB49" s="161">
        <f t="shared" si="107"/>
        <v>4.1772481694156562</v>
      </c>
      <c r="AC49" s="161">
        <f t="shared" si="107"/>
        <v>4.1772481694156562</v>
      </c>
      <c r="AD49" s="161">
        <f t="shared" si="107"/>
        <v>4.1772481694156562</v>
      </c>
      <c r="AE49" s="161">
        <f t="shared" si="107"/>
        <v>4.1772481694156562</v>
      </c>
      <c r="AF49" s="161">
        <f t="shared" si="107"/>
        <v>4.1772481694156562</v>
      </c>
      <c r="AG49" s="161">
        <f t="shared" si="107"/>
        <v>4.1772481694156562</v>
      </c>
      <c r="AH49" s="161">
        <f t="shared" si="107"/>
        <v>4.1772481694156562</v>
      </c>
      <c r="AI49" s="161">
        <f t="shared" si="107"/>
        <v>4.1772481694156562</v>
      </c>
      <c r="AJ49" s="161">
        <f t="shared" si="107"/>
        <v>4.1772481694156562</v>
      </c>
      <c r="AK49" s="161">
        <f t="shared" si="107"/>
        <v>4.1772481694156562</v>
      </c>
      <c r="AL49" s="161">
        <f t="shared" si="107"/>
        <v>4.1772481694156562</v>
      </c>
      <c r="AM49" s="161">
        <f t="shared" si="107"/>
        <v>4.1772481694156562</v>
      </c>
      <c r="AN49" s="161">
        <f t="shared" si="107"/>
        <v>4.1772481694156562</v>
      </c>
      <c r="AO49" s="161">
        <f t="shared" si="107"/>
        <v>4.1772481694156562</v>
      </c>
      <c r="AP49" s="162">
        <f t="shared" si="94"/>
        <v>21.384283767210015</v>
      </c>
      <c r="AQ49" s="163">
        <f t="shared" si="95"/>
        <v>47.983431451687423</v>
      </c>
      <c r="AR49" s="164">
        <f t="shared" si="96"/>
        <v>50.126978032987871</v>
      </c>
      <c r="AS49" s="165">
        <f t="shared" si="97"/>
        <v>119.49469325188531</v>
      </c>
      <c r="AT49" s="162">
        <f t="shared" ref="AT49:AV49" si="108">AP49/12</f>
        <v>1.7820236472675013</v>
      </c>
      <c r="AU49" s="163">
        <f t="shared" si="108"/>
        <v>3.9986192876406186</v>
      </c>
      <c r="AV49" s="164">
        <f t="shared" si="108"/>
        <v>4.1772481694156562</v>
      </c>
      <c r="AW49" s="165">
        <f t="shared" si="99"/>
        <v>9.9578911043237763</v>
      </c>
    </row>
    <row r="50" spans="1:49" ht="13.5" customHeight="1" x14ac:dyDescent="0.3">
      <c r="A50" s="17"/>
      <c r="B50" s="17"/>
      <c r="C50" s="166"/>
      <c r="D50" s="167" t="s">
        <v>56</v>
      </c>
      <c r="E50" s="168"/>
      <c r="F50" s="169">
        <v>1</v>
      </c>
      <c r="G50" s="169">
        <f>F50*(1+G51)</f>
        <v>1.1000000000000001</v>
      </c>
      <c r="H50" s="169">
        <f t="shared" ref="H50:U50" si="109">G50*(1+H51)</f>
        <v>1.2100000000000002</v>
      </c>
      <c r="I50" s="169">
        <f t="shared" si="109"/>
        <v>1.3310000000000004</v>
      </c>
      <c r="J50" s="169">
        <f t="shared" si="109"/>
        <v>1.4641000000000006</v>
      </c>
      <c r="K50" s="169">
        <f t="shared" si="109"/>
        <v>1.6105100000000008</v>
      </c>
      <c r="L50" s="169">
        <f t="shared" si="109"/>
        <v>1.7715610000000011</v>
      </c>
      <c r="M50" s="169">
        <f t="shared" si="109"/>
        <v>1.9487171000000014</v>
      </c>
      <c r="N50" s="169">
        <f t="shared" si="109"/>
        <v>2.1435888100000016</v>
      </c>
      <c r="O50" s="169">
        <f t="shared" si="109"/>
        <v>2.3579476910000019</v>
      </c>
      <c r="P50" s="169">
        <f t="shared" si="109"/>
        <v>2.5937424601000023</v>
      </c>
      <c r="Q50" s="169">
        <f t="shared" si="109"/>
        <v>2.8531167061100029</v>
      </c>
      <c r="R50" s="169">
        <f t="shared" si="109"/>
        <v>3.1384283767210035</v>
      </c>
      <c r="S50" s="169">
        <f t="shared" si="109"/>
        <v>3.4522712143931042</v>
      </c>
      <c r="T50" s="169">
        <f t="shared" si="109"/>
        <v>3.7974983358324148</v>
      </c>
      <c r="U50" s="169">
        <f t="shared" si="109"/>
        <v>4.1772481694156562</v>
      </c>
      <c r="V50" s="169">
        <f t="shared" ref="G50:AO51" si="110">U50</f>
        <v>4.1772481694156562</v>
      </c>
      <c r="W50" s="169">
        <f t="shared" si="110"/>
        <v>4.1772481694156562</v>
      </c>
      <c r="X50" s="169">
        <f t="shared" si="110"/>
        <v>4.1772481694156562</v>
      </c>
      <c r="Y50" s="169">
        <f t="shared" si="110"/>
        <v>4.1772481694156562</v>
      </c>
      <c r="Z50" s="169">
        <f t="shared" si="110"/>
        <v>4.1772481694156562</v>
      </c>
      <c r="AA50" s="169">
        <f t="shared" si="110"/>
        <v>4.1772481694156562</v>
      </c>
      <c r="AB50" s="169">
        <f t="shared" si="110"/>
        <v>4.1772481694156562</v>
      </c>
      <c r="AC50" s="169">
        <f t="shared" si="110"/>
        <v>4.1772481694156562</v>
      </c>
      <c r="AD50" s="169">
        <f t="shared" si="110"/>
        <v>4.1772481694156562</v>
      </c>
      <c r="AE50" s="169">
        <f t="shared" si="110"/>
        <v>4.1772481694156562</v>
      </c>
      <c r="AF50" s="169">
        <f t="shared" si="110"/>
        <v>4.1772481694156562</v>
      </c>
      <c r="AG50" s="169">
        <f t="shared" si="110"/>
        <v>4.1772481694156562</v>
      </c>
      <c r="AH50" s="169">
        <f t="shared" si="110"/>
        <v>4.1772481694156562</v>
      </c>
      <c r="AI50" s="169">
        <f t="shared" si="110"/>
        <v>4.1772481694156562</v>
      </c>
      <c r="AJ50" s="169">
        <f t="shared" si="110"/>
        <v>4.1772481694156562</v>
      </c>
      <c r="AK50" s="169">
        <f t="shared" si="110"/>
        <v>4.1772481694156562</v>
      </c>
      <c r="AL50" s="169">
        <f t="shared" si="110"/>
        <v>4.1772481694156562</v>
      </c>
      <c r="AM50" s="169">
        <f t="shared" si="110"/>
        <v>4.1772481694156562</v>
      </c>
      <c r="AN50" s="169">
        <f t="shared" si="110"/>
        <v>4.1772481694156562</v>
      </c>
      <c r="AO50" s="169">
        <f t="shared" si="110"/>
        <v>4.1772481694156562</v>
      </c>
      <c r="AP50" s="170">
        <f t="shared" si="94"/>
        <v>21.384283767210015</v>
      </c>
      <c r="AQ50" s="171">
        <f t="shared" si="95"/>
        <v>47.983431451687423</v>
      </c>
      <c r="AR50" s="172">
        <f t="shared" si="96"/>
        <v>50.126978032987871</v>
      </c>
      <c r="AS50" s="173">
        <f t="shared" si="97"/>
        <v>119.49469325188531</v>
      </c>
      <c r="AT50" s="170">
        <f t="shared" ref="AT50:AV51" si="111">AP50/12</f>
        <v>1.7820236472675013</v>
      </c>
      <c r="AU50" s="171">
        <f t="shared" si="111"/>
        <v>3.9986192876406186</v>
      </c>
      <c r="AV50" s="172">
        <f t="shared" si="111"/>
        <v>4.1772481694156562</v>
      </c>
      <c r="AW50" s="173">
        <f t="shared" si="99"/>
        <v>9.9578911043237763</v>
      </c>
    </row>
    <row r="51" spans="1:49" ht="13.5" customHeight="1" x14ac:dyDescent="0.3">
      <c r="A51" s="130"/>
      <c r="B51" s="130"/>
      <c r="C51" s="130"/>
      <c r="D51" s="130" t="s">
        <v>49</v>
      </c>
      <c r="E51" s="174"/>
      <c r="F51" s="174">
        <v>0.1</v>
      </c>
      <c r="G51" s="175">
        <f t="shared" si="110"/>
        <v>0.1</v>
      </c>
      <c r="H51" s="175">
        <f t="shared" si="110"/>
        <v>0.1</v>
      </c>
      <c r="I51" s="175">
        <f t="shared" si="110"/>
        <v>0.1</v>
      </c>
      <c r="J51" s="175">
        <f t="shared" si="110"/>
        <v>0.1</v>
      </c>
      <c r="K51" s="175">
        <f t="shared" si="110"/>
        <v>0.1</v>
      </c>
      <c r="L51" s="175">
        <f t="shared" si="110"/>
        <v>0.1</v>
      </c>
      <c r="M51" s="175">
        <f t="shared" si="110"/>
        <v>0.1</v>
      </c>
      <c r="N51" s="175">
        <f t="shared" si="110"/>
        <v>0.1</v>
      </c>
      <c r="O51" s="175">
        <f t="shared" si="110"/>
        <v>0.1</v>
      </c>
      <c r="P51" s="175">
        <f t="shared" si="110"/>
        <v>0.1</v>
      </c>
      <c r="Q51" s="175">
        <f t="shared" si="110"/>
        <v>0.1</v>
      </c>
      <c r="R51" s="175">
        <f t="shared" si="110"/>
        <v>0.1</v>
      </c>
      <c r="S51" s="175">
        <f t="shared" si="110"/>
        <v>0.1</v>
      </c>
      <c r="T51" s="175">
        <f t="shared" si="110"/>
        <v>0.1</v>
      </c>
      <c r="U51" s="175">
        <f t="shared" si="110"/>
        <v>0.1</v>
      </c>
      <c r="V51" s="175">
        <f t="shared" si="110"/>
        <v>0.1</v>
      </c>
      <c r="W51" s="175">
        <f t="shared" si="110"/>
        <v>0.1</v>
      </c>
      <c r="X51" s="175">
        <f t="shared" si="110"/>
        <v>0.1</v>
      </c>
      <c r="Y51" s="175">
        <f t="shared" si="110"/>
        <v>0.1</v>
      </c>
      <c r="Z51" s="175">
        <f t="shared" si="110"/>
        <v>0.1</v>
      </c>
      <c r="AA51" s="175">
        <f t="shared" si="110"/>
        <v>0.1</v>
      </c>
      <c r="AB51" s="175">
        <f t="shared" si="110"/>
        <v>0.1</v>
      </c>
      <c r="AC51" s="175">
        <f t="shared" si="110"/>
        <v>0.1</v>
      </c>
      <c r="AD51" s="175">
        <f t="shared" si="110"/>
        <v>0.1</v>
      </c>
      <c r="AE51" s="175">
        <f t="shared" si="110"/>
        <v>0.1</v>
      </c>
      <c r="AF51" s="175">
        <f t="shared" si="110"/>
        <v>0.1</v>
      </c>
      <c r="AG51" s="175">
        <f t="shared" si="110"/>
        <v>0.1</v>
      </c>
      <c r="AH51" s="175">
        <f t="shared" si="110"/>
        <v>0.1</v>
      </c>
      <c r="AI51" s="175">
        <f t="shared" si="110"/>
        <v>0.1</v>
      </c>
      <c r="AJ51" s="175">
        <f t="shared" si="110"/>
        <v>0.1</v>
      </c>
      <c r="AK51" s="175">
        <f t="shared" si="110"/>
        <v>0.1</v>
      </c>
      <c r="AL51" s="175">
        <f t="shared" si="110"/>
        <v>0.1</v>
      </c>
      <c r="AM51" s="175">
        <f t="shared" si="110"/>
        <v>0.1</v>
      </c>
      <c r="AN51" s="175">
        <f t="shared" si="110"/>
        <v>0.1</v>
      </c>
      <c r="AO51" s="175">
        <f t="shared" si="110"/>
        <v>0.1</v>
      </c>
      <c r="AP51" s="130">
        <f t="shared" si="94"/>
        <v>1.2</v>
      </c>
      <c r="AQ51" s="174">
        <f t="shared" ref="AQ51:AR51" si="112">AQ46/AP46-1</f>
        <v>1.2618253445988907</v>
      </c>
      <c r="AR51" s="174">
        <f t="shared" si="112"/>
        <v>4.4672640460461821E-2</v>
      </c>
      <c r="AS51" s="130">
        <f t="shared" si="97"/>
        <v>2.5064979850593527</v>
      </c>
      <c r="AT51" s="130">
        <f t="shared" si="111"/>
        <v>9.9999999999999992E-2</v>
      </c>
      <c r="AU51" s="174">
        <f t="shared" ref="AU51:AV51" si="113">AU46/AT46-1</f>
        <v>1.2618253445988903</v>
      </c>
      <c r="AV51" s="174">
        <f t="shared" si="113"/>
        <v>4.4672640460461821E-2</v>
      </c>
      <c r="AW51" s="130">
        <f t="shared" si="99"/>
        <v>1.4064979850593522</v>
      </c>
    </row>
    <row r="52" spans="1:49" ht="9" customHeight="1" x14ac:dyDescent="0.3">
      <c r="A52" s="1"/>
      <c r="B52" s="1"/>
      <c r="C52" s="1"/>
      <c r="D52" s="1"/>
      <c r="E52" s="64"/>
      <c r="F52" s="6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t="13.5" customHeight="1" x14ac:dyDescent="0.3">
      <c r="A53" s="138"/>
      <c r="B53" s="138"/>
      <c r="C53" s="139" t="s">
        <v>50</v>
      </c>
      <c r="D53" s="140"/>
      <c r="E53" s="140"/>
      <c r="F53" s="140">
        <f t="shared" ref="F53:AW53" si="114">F46+F43</f>
        <v>34</v>
      </c>
      <c r="G53" s="140">
        <f t="shared" si="114"/>
        <v>58.099999999999994</v>
      </c>
      <c r="H53" s="140">
        <f t="shared" si="114"/>
        <v>67.635000000000005</v>
      </c>
      <c r="I53" s="140">
        <f t="shared" si="114"/>
        <v>80.720500000000001</v>
      </c>
      <c r="J53" s="140">
        <f t="shared" si="114"/>
        <v>82.344544999999997</v>
      </c>
      <c r="K53" s="140">
        <f t="shared" si="114"/>
        <v>84.100264450000012</v>
      </c>
      <c r="L53" s="140">
        <f t="shared" si="114"/>
        <v>86.0005184945</v>
      </c>
      <c r="M53" s="140">
        <f t="shared" si="114"/>
        <v>121.80945021944501</v>
      </c>
      <c r="N53" s="140">
        <f t="shared" si="114"/>
        <v>130.79261391563946</v>
      </c>
      <c r="O53" s="140">
        <f t="shared" si="114"/>
        <v>140.64211616819588</v>
      </c>
      <c r="P53" s="140">
        <f t="shared" si="114"/>
        <v>241.28677105461787</v>
      </c>
      <c r="Q53" s="140">
        <f t="shared" si="114"/>
        <v>262.12077086237809</v>
      </c>
      <c r="R53" s="140">
        <f t="shared" si="114"/>
        <v>284.72352025290627</v>
      </c>
      <c r="S53" s="140">
        <f t="shared" si="114"/>
        <v>309.48970896138297</v>
      </c>
      <c r="T53" s="140">
        <f t="shared" si="114"/>
        <v>336.73251654070719</v>
      </c>
      <c r="U53" s="140">
        <f t="shared" si="114"/>
        <v>366.69960487796396</v>
      </c>
      <c r="V53" s="140">
        <f t="shared" si="114"/>
        <v>366.69960487796396</v>
      </c>
      <c r="W53" s="140">
        <f t="shared" si="114"/>
        <v>366.69960487796396</v>
      </c>
      <c r="X53" s="140">
        <f t="shared" si="114"/>
        <v>366.69960487796396</v>
      </c>
      <c r="Y53" s="140">
        <f t="shared" si="114"/>
        <v>366.69960487796396</v>
      </c>
      <c r="Z53" s="140">
        <f t="shared" si="114"/>
        <v>366.69960487796396</v>
      </c>
      <c r="AA53" s="140">
        <f t="shared" si="114"/>
        <v>366.69960487796396</v>
      </c>
      <c r="AB53" s="140">
        <f t="shared" si="114"/>
        <v>366.69960487796396</v>
      </c>
      <c r="AC53" s="140">
        <f t="shared" si="114"/>
        <v>369.52544436655609</v>
      </c>
      <c r="AD53" s="140">
        <f t="shared" si="114"/>
        <v>369.52544436655609</v>
      </c>
      <c r="AE53" s="140">
        <f t="shared" si="114"/>
        <v>369.52544436655609</v>
      </c>
      <c r="AF53" s="140">
        <f t="shared" si="114"/>
        <v>372.45985712729561</v>
      </c>
      <c r="AG53" s="140">
        <f t="shared" si="114"/>
        <v>372.45985712729561</v>
      </c>
      <c r="AH53" s="140">
        <f t="shared" si="114"/>
        <v>372.45985712729561</v>
      </c>
      <c r="AI53" s="140">
        <f t="shared" si="114"/>
        <v>372.45985712729561</v>
      </c>
      <c r="AJ53" s="140">
        <f t="shared" si="114"/>
        <v>372.45985712729561</v>
      </c>
      <c r="AK53" s="140">
        <f t="shared" si="114"/>
        <v>372.45985712729561</v>
      </c>
      <c r="AL53" s="140">
        <f t="shared" si="114"/>
        <v>372.45985712729561</v>
      </c>
      <c r="AM53" s="140">
        <f t="shared" si="114"/>
        <v>370.42071972646369</v>
      </c>
      <c r="AN53" s="140">
        <f t="shared" si="114"/>
        <v>370.42071972646369</v>
      </c>
      <c r="AO53" s="140">
        <f t="shared" si="114"/>
        <v>370.42071972646369</v>
      </c>
      <c r="AP53" s="141">
        <f t="shared" si="114"/>
        <v>1389.5525501647762</v>
      </c>
      <c r="AQ53" s="140">
        <f t="shared" si="114"/>
        <v>4234.0680291452636</v>
      </c>
      <c r="AR53" s="142">
        <f t="shared" si="114"/>
        <v>4457.5320478035728</v>
      </c>
      <c r="AS53" s="143">
        <f t="shared" si="114"/>
        <v>7535.6294352761988</v>
      </c>
      <c r="AT53" s="140">
        <f t="shared" si="114"/>
        <v>115.79604584706468</v>
      </c>
      <c r="AU53" s="140">
        <f t="shared" si="114"/>
        <v>352.83900242877195</v>
      </c>
      <c r="AV53" s="140">
        <f t="shared" si="114"/>
        <v>371.46100398363103</v>
      </c>
      <c r="AW53" s="143">
        <f t="shared" si="114"/>
        <v>629.54065865252323</v>
      </c>
    </row>
    <row r="54" spans="1:49" ht="13.5" customHeight="1" x14ac:dyDescent="0.3">
      <c r="A54" s="144"/>
      <c r="B54" s="144"/>
      <c r="C54" s="145" t="s">
        <v>51</v>
      </c>
      <c r="D54" s="146"/>
      <c r="E54" s="147"/>
      <c r="F54" s="147">
        <f t="shared" ref="F54:AW54" si="115">F53*$E$37</f>
        <v>34</v>
      </c>
      <c r="G54" s="147">
        <f t="shared" si="115"/>
        <v>58.099999999999994</v>
      </c>
      <c r="H54" s="147">
        <f t="shared" si="115"/>
        <v>67.635000000000005</v>
      </c>
      <c r="I54" s="147">
        <f t="shared" si="115"/>
        <v>80.720500000000001</v>
      </c>
      <c r="J54" s="147">
        <f t="shared" si="115"/>
        <v>82.344544999999997</v>
      </c>
      <c r="K54" s="147">
        <f t="shared" si="115"/>
        <v>84.100264450000012</v>
      </c>
      <c r="L54" s="147">
        <f t="shared" si="115"/>
        <v>86.0005184945</v>
      </c>
      <c r="M54" s="147">
        <f t="shared" si="115"/>
        <v>121.80945021944501</v>
      </c>
      <c r="N54" s="147">
        <f t="shared" si="115"/>
        <v>130.79261391563946</v>
      </c>
      <c r="O54" s="147">
        <f t="shared" si="115"/>
        <v>140.64211616819588</v>
      </c>
      <c r="P54" s="147">
        <f t="shared" si="115"/>
        <v>241.28677105461787</v>
      </c>
      <c r="Q54" s="147">
        <f t="shared" si="115"/>
        <v>262.12077086237809</v>
      </c>
      <c r="R54" s="147">
        <f t="shared" si="115"/>
        <v>284.72352025290627</v>
      </c>
      <c r="S54" s="147">
        <f t="shared" si="115"/>
        <v>309.48970896138297</v>
      </c>
      <c r="T54" s="147">
        <f t="shared" si="115"/>
        <v>336.73251654070719</v>
      </c>
      <c r="U54" s="147">
        <f t="shared" si="115"/>
        <v>366.69960487796396</v>
      </c>
      <c r="V54" s="147">
        <f t="shared" si="115"/>
        <v>366.69960487796396</v>
      </c>
      <c r="W54" s="147">
        <f t="shared" si="115"/>
        <v>366.69960487796396</v>
      </c>
      <c r="X54" s="147">
        <f t="shared" si="115"/>
        <v>366.69960487796396</v>
      </c>
      <c r="Y54" s="147">
        <f t="shared" si="115"/>
        <v>366.69960487796396</v>
      </c>
      <c r="Z54" s="147">
        <f t="shared" si="115"/>
        <v>366.69960487796396</v>
      </c>
      <c r="AA54" s="147">
        <f t="shared" si="115"/>
        <v>366.69960487796396</v>
      </c>
      <c r="AB54" s="147">
        <f t="shared" si="115"/>
        <v>366.69960487796396</v>
      </c>
      <c r="AC54" s="147">
        <f t="shared" si="115"/>
        <v>369.52544436655609</v>
      </c>
      <c r="AD54" s="147">
        <f t="shared" si="115"/>
        <v>369.52544436655609</v>
      </c>
      <c r="AE54" s="147">
        <f t="shared" si="115"/>
        <v>369.52544436655609</v>
      </c>
      <c r="AF54" s="147">
        <f t="shared" si="115"/>
        <v>372.45985712729561</v>
      </c>
      <c r="AG54" s="147">
        <f t="shared" si="115"/>
        <v>372.45985712729561</v>
      </c>
      <c r="AH54" s="147">
        <f t="shared" si="115"/>
        <v>372.45985712729561</v>
      </c>
      <c r="AI54" s="147">
        <f t="shared" si="115"/>
        <v>372.45985712729561</v>
      </c>
      <c r="AJ54" s="147">
        <f t="shared" si="115"/>
        <v>372.45985712729561</v>
      </c>
      <c r="AK54" s="147">
        <f t="shared" si="115"/>
        <v>372.45985712729561</v>
      </c>
      <c r="AL54" s="147">
        <f t="shared" si="115"/>
        <v>372.45985712729561</v>
      </c>
      <c r="AM54" s="147">
        <f t="shared" si="115"/>
        <v>370.42071972646369</v>
      </c>
      <c r="AN54" s="147">
        <f t="shared" si="115"/>
        <v>370.42071972646369</v>
      </c>
      <c r="AO54" s="147">
        <f t="shared" si="115"/>
        <v>370.42071972646369</v>
      </c>
      <c r="AP54" s="148">
        <f t="shared" si="115"/>
        <v>1389.5525501647762</v>
      </c>
      <c r="AQ54" s="147">
        <f t="shared" si="115"/>
        <v>4234.0680291452636</v>
      </c>
      <c r="AR54" s="149">
        <f t="shared" si="115"/>
        <v>4457.5320478035728</v>
      </c>
      <c r="AS54" s="150">
        <f t="shared" si="115"/>
        <v>7535.6294352761988</v>
      </c>
      <c r="AT54" s="147">
        <f t="shared" si="115"/>
        <v>115.79604584706468</v>
      </c>
      <c r="AU54" s="147">
        <f t="shared" si="115"/>
        <v>352.83900242877195</v>
      </c>
      <c r="AV54" s="147">
        <f t="shared" si="115"/>
        <v>371.46100398363103</v>
      </c>
      <c r="AW54" s="150">
        <f t="shared" si="115"/>
        <v>629.54065865252323</v>
      </c>
    </row>
    <row r="55" spans="1:49" ht="13.5" customHeight="1" x14ac:dyDescent="0.3">
      <c r="A55" s="17"/>
      <c r="B55" s="17"/>
      <c r="C55" s="17"/>
      <c r="D55" s="17"/>
      <c r="E55" s="160"/>
      <c r="F55" s="160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"/>
      <c r="AQ55" s="17"/>
      <c r="AR55" s="17"/>
      <c r="AS55" s="17"/>
      <c r="AT55" s="17"/>
      <c r="AU55" s="17"/>
      <c r="AV55" s="17"/>
      <c r="AW55" s="17"/>
    </row>
    <row r="56" spans="1:49" ht="13.5" customHeight="1" x14ac:dyDescent="0.3">
      <c r="A56" s="1"/>
      <c r="B56" s="1"/>
      <c r="C56" s="1"/>
      <c r="D56" s="1"/>
      <c r="E56" s="64"/>
      <c r="F56" s="6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t="13.5" customHeight="1" x14ac:dyDescent="0.3">
      <c r="A57" s="1"/>
      <c r="B57" s="1"/>
      <c r="C57" s="198"/>
      <c r="D57" s="199"/>
      <c r="E57" s="200"/>
      <c r="F57" s="154">
        <f>SUM(F58:F61)</f>
        <v>200</v>
      </c>
      <c r="G57" s="9" t="s">
        <v>52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13.5" customHeight="1" x14ac:dyDescent="0.3">
      <c r="A58" s="1"/>
      <c r="B58" s="1"/>
      <c r="C58" s="1"/>
      <c r="D58" s="1"/>
      <c r="E58" s="64"/>
      <c r="F58" s="161">
        <v>100</v>
      </c>
      <c r="G58" s="1">
        <f t="shared" ref="G58:G61" si="116">F58/$F$57</f>
        <v>0.5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t="13.5" customHeight="1" x14ac:dyDescent="0.3">
      <c r="A59" s="1"/>
      <c r="B59" s="1"/>
      <c r="C59" s="1"/>
      <c r="D59" s="1"/>
      <c r="E59" s="64"/>
      <c r="F59" s="161">
        <v>30</v>
      </c>
      <c r="G59" s="1">
        <f t="shared" si="116"/>
        <v>0.15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t="13.5" customHeight="1" x14ac:dyDescent="0.3">
      <c r="A60" s="1"/>
      <c r="B60" s="1"/>
      <c r="C60" s="1"/>
      <c r="D60" s="1"/>
      <c r="E60" s="177"/>
      <c r="F60" s="161">
        <v>30</v>
      </c>
      <c r="G60" s="1">
        <f t="shared" si="116"/>
        <v>0.15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t="13.5" customHeight="1" x14ac:dyDescent="0.3">
      <c r="A61" s="1"/>
      <c r="B61" s="1"/>
      <c r="C61" s="1"/>
      <c r="D61" s="1"/>
      <c r="E61" s="64"/>
      <c r="F61" s="169">
        <v>40</v>
      </c>
      <c r="G61" s="1">
        <f t="shared" si="116"/>
        <v>0.2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t="13.5" customHeight="1" x14ac:dyDescent="0.3">
      <c r="A62" s="1"/>
      <c r="B62" s="1"/>
      <c r="C62" s="1"/>
      <c r="D62" s="1"/>
      <c r="E62" s="64"/>
      <c r="F62" s="64"/>
      <c r="G62" s="17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t="13.5" customHeight="1" x14ac:dyDescent="0.3">
      <c r="A63" s="1"/>
      <c r="B63" s="1"/>
      <c r="C63" s="1"/>
      <c r="D63" s="1"/>
      <c r="E63" s="179"/>
      <c r="F63" s="64"/>
      <c r="G63" s="18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t="13.5" customHeight="1" x14ac:dyDescent="0.3">
      <c r="A64" s="1"/>
      <c r="B64" s="1"/>
      <c r="C64" s="1"/>
      <c r="D64" s="1"/>
      <c r="E64" s="179"/>
      <c r="F64" s="177"/>
      <c r="G64" s="18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13.5" customHeight="1" x14ac:dyDescent="0.3">
      <c r="A65" s="1"/>
      <c r="B65" s="1"/>
      <c r="C65" s="1"/>
      <c r="D65" s="1"/>
      <c r="E65" s="64"/>
      <c r="F65" s="177"/>
      <c r="G65" s="18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13.5" customHeight="1" x14ac:dyDescent="0.3">
      <c r="A66" s="1"/>
      <c r="B66" s="1"/>
      <c r="C66" s="1"/>
      <c r="D66" s="1"/>
      <c r="E66" s="64"/>
      <c r="F66" s="6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t="13.5" customHeight="1" x14ac:dyDescent="0.3">
      <c r="A67" s="1"/>
      <c r="B67" s="1"/>
      <c r="C67" s="1"/>
      <c r="D67" s="1"/>
      <c r="E67" s="64"/>
      <c r="F67" s="6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13.5" customHeight="1" x14ac:dyDescent="0.3">
      <c r="A68" s="1"/>
      <c r="B68" s="1"/>
      <c r="C68" s="1"/>
      <c r="D68" s="1"/>
      <c r="E68" s="64"/>
      <c r="F68" s="6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t="13.5" customHeight="1" x14ac:dyDescent="0.3">
      <c r="A69" s="1"/>
      <c r="B69" s="1"/>
      <c r="C69" s="1"/>
      <c r="D69" s="1"/>
      <c r="E69" s="64"/>
      <c r="F69" s="6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13.5" customHeight="1" x14ac:dyDescent="0.3">
      <c r="A70" s="1"/>
      <c r="B70" s="1"/>
      <c r="C70" s="1"/>
      <c r="D70" s="1"/>
      <c r="E70" s="64"/>
      <c r="F70" s="6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t="13.5" customHeight="1" x14ac:dyDescent="0.3">
      <c r="A71" s="1"/>
      <c r="B71" s="1"/>
      <c r="C71" s="1"/>
      <c r="D71" s="1"/>
      <c r="E71" s="64"/>
      <c r="F71" s="6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13.5" customHeight="1" x14ac:dyDescent="0.3">
      <c r="A72" s="1"/>
      <c r="B72" s="1"/>
      <c r="C72" s="1"/>
      <c r="D72" s="1"/>
      <c r="E72" s="64"/>
      <c r="F72" s="6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13.5" customHeight="1" x14ac:dyDescent="0.3">
      <c r="A73" s="1"/>
      <c r="B73" s="1"/>
      <c r="C73" s="1"/>
      <c r="D73" s="1"/>
      <c r="E73" s="64"/>
      <c r="F73" s="6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13.5" customHeight="1" x14ac:dyDescent="0.3">
      <c r="A74" s="1"/>
      <c r="B74" s="1"/>
      <c r="C74" s="1"/>
      <c r="D74" s="1"/>
      <c r="E74" s="64"/>
      <c r="F74" s="6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13.5" customHeight="1" x14ac:dyDescent="0.3">
      <c r="A75" s="1"/>
      <c r="B75" s="1"/>
      <c r="C75" s="1"/>
      <c r="D75" s="1"/>
      <c r="E75" s="64"/>
      <c r="F75" s="6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13.5" customHeight="1" x14ac:dyDescent="0.3">
      <c r="A76" s="1"/>
      <c r="B76" s="1"/>
      <c r="C76" s="1"/>
      <c r="D76" s="1"/>
      <c r="E76" s="64"/>
      <c r="F76" s="6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13.5" customHeight="1" x14ac:dyDescent="0.3">
      <c r="A77" s="1"/>
      <c r="B77" s="1"/>
      <c r="C77" s="1"/>
      <c r="D77" s="1"/>
      <c r="E77" s="64"/>
      <c r="F77" s="6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13.5" customHeight="1" x14ac:dyDescent="0.3">
      <c r="A78" s="1"/>
      <c r="B78" s="1"/>
      <c r="C78" s="1"/>
      <c r="D78" s="1"/>
      <c r="E78" s="64"/>
      <c r="F78" s="6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13.5" customHeight="1" x14ac:dyDescent="0.3">
      <c r="A79" s="1"/>
      <c r="B79" s="1"/>
      <c r="C79" s="1"/>
      <c r="D79" s="1"/>
      <c r="E79" s="64"/>
      <c r="F79" s="6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3.5" customHeight="1" x14ac:dyDescent="0.3">
      <c r="A80" s="1"/>
      <c r="B80" s="1"/>
      <c r="C80" s="1"/>
      <c r="D80" s="1"/>
      <c r="E80" s="64"/>
      <c r="F80" s="6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13.5" customHeight="1" x14ac:dyDescent="0.3">
      <c r="A81" s="1"/>
      <c r="B81" s="1"/>
      <c r="C81" s="1"/>
      <c r="D81" s="1"/>
      <c r="E81" s="64"/>
      <c r="F81" s="6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13.5" customHeight="1" x14ac:dyDescent="0.3">
      <c r="A82" s="1"/>
      <c r="B82" s="1"/>
      <c r="C82" s="1"/>
      <c r="D82" s="1"/>
      <c r="E82" s="64"/>
      <c r="F82" s="6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ht="13.5" customHeight="1" x14ac:dyDescent="0.3">
      <c r="A83" s="1"/>
      <c r="B83" s="1"/>
      <c r="C83" s="1"/>
      <c r="D83" s="1"/>
      <c r="E83" s="64"/>
      <c r="F83" s="6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13.5" customHeight="1" x14ac:dyDescent="0.3">
      <c r="A84" s="1"/>
      <c r="B84" s="1"/>
      <c r="C84" s="1"/>
      <c r="D84" s="1"/>
      <c r="E84" s="64"/>
      <c r="F84" s="6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t="13.5" customHeight="1" x14ac:dyDescent="0.3">
      <c r="A85" s="1"/>
      <c r="B85" s="1"/>
      <c r="C85" s="1"/>
      <c r="D85" s="1"/>
      <c r="E85" s="64"/>
      <c r="F85" s="6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13.5" customHeight="1" x14ac:dyDescent="0.3">
      <c r="A86" s="1"/>
      <c r="B86" s="1"/>
      <c r="C86" s="1"/>
      <c r="D86" s="1"/>
      <c r="E86" s="64"/>
      <c r="F86" s="6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t="13.5" customHeight="1" x14ac:dyDescent="0.3">
      <c r="A87" s="1"/>
      <c r="B87" s="1"/>
      <c r="C87" s="1"/>
      <c r="D87" s="1"/>
      <c r="E87" s="64"/>
      <c r="F87" s="6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3.5" customHeight="1" x14ac:dyDescent="0.3">
      <c r="A88" s="1"/>
      <c r="B88" s="1"/>
      <c r="C88" s="1"/>
      <c r="D88" s="1"/>
      <c r="E88" s="64"/>
      <c r="F88" s="6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t="13.5" customHeight="1" x14ac:dyDescent="0.3">
      <c r="A89" s="1"/>
      <c r="B89" s="1"/>
      <c r="C89" s="1"/>
      <c r="D89" s="1"/>
      <c r="E89" s="64"/>
      <c r="F89" s="6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3.5" customHeight="1" x14ac:dyDescent="0.3">
      <c r="A90" s="1"/>
      <c r="B90" s="1"/>
      <c r="C90" s="1"/>
      <c r="D90" s="1"/>
      <c r="E90" s="64"/>
      <c r="F90" s="6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t="13.5" customHeight="1" x14ac:dyDescent="0.3">
      <c r="A91" s="1"/>
      <c r="B91" s="1"/>
      <c r="C91" s="1"/>
      <c r="D91" s="1"/>
      <c r="E91" s="64"/>
      <c r="F91" s="6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13.5" customHeight="1" x14ac:dyDescent="0.3">
      <c r="A92" s="1"/>
      <c r="B92" s="1"/>
      <c r="C92" s="1"/>
      <c r="D92" s="1"/>
      <c r="E92" s="64"/>
      <c r="F92" s="6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t="13.5" customHeight="1" x14ac:dyDescent="0.3">
      <c r="A93" s="1"/>
      <c r="B93" s="1"/>
      <c r="C93" s="1"/>
      <c r="D93" s="1"/>
      <c r="E93" s="64"/>
      <c r="F93" s="6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13.5" customHeight="1" x14ac:dyDescent="0.3">
      <c r="A94" s="1"/>
      <c r="B94" s="1"/>
      <c r="C94" s="1"/>
      <c r="D94" s="1"/>
      <c r="E94" s="64"/>
      <c r="F94" s="6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t="13.5" customHeight="1" x14ac:dyDescent="0.3">
      <c r="A95" s="1"/>
      <c r="B95" s="1"/>
      <c r="C95" s="1"/>
      <c r="D95" s="1"/>
      <c r="E95" s="64"/>
      <c r="F95" s="6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13.5" customHeight="1" x14ac:dyDescent="0.3">
      <c r="A96" s="1"/>
      <c r="B96" s="1"/>
      <c r="C96" s="1"/>
      <c r="D96" s="1"/>
      <c r="E96" s="64"/>
      <c r="F96" s="6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t="13.5" customHeight="1" x14ac:dyDescent="0.3">
      <c r="A97" s="1"/>
      <c r="B97" s="1"/>
      <c r="C97" s="1"/>
      <c r="D97" s="1"/>
      <c r="E97" s="64"/>
      <c r="F97" s="6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13.5" customHeight="1" x14ac:dyDescent="0.3">
      <c r="A98" s="1"/>
      <c r="B98" s="1"/>
      <c r="C98" s="1"/>
      <c r="D98" s="1"/>
      <c r="E98" s="64"/>
      <c r="F98" s="6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t="13.5" customHeight="1" x14ac:dyDescent="0.3">
      <c r="A99" s="1"/>
      <c r="B99" s="1"/>
      <c r="C99" s="1"/>
      <c r="D99" s="1"/>
      <c r="E99" s="64"/>
      <c r="F99" s="6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t="13.5" customHeight="1" x14ac:dyDescent="0.3">
      <c r="A100" s="1"/>
      <c r="B100" s="1"/>
      <c r="C100" s="1"/>
      <c r="D100" s="1"/>
      <c r="E100" s="64"/>
      <c r="F100" s="6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3.5" customHeight="1" x14ac:dyDescent="0.3">
      <c r="A101" s="1"/>
      <c r="B101" s="1"/>
      <c r="C101" s="1"/>
      <c r="D101" s="1"/>
      <c r="E101" s="64"/>
      <c r="F101" s="6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13.5" customHeight="1" x14ac:dyDescent="0.3">
      <c r="A102" s="1"/>
      <c r="B102" s="1"/>
      <c r="C102" s="1"/>
      <c r="D102" s="1"/>
      <c r="E102" s="64"/>
      <c r="F102" s="6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13.5" customHeight="1" x14ac:dyDescent="0.3">
      <c r="A103" s="1"/>
      <c r="B103" s="1"/>
      <c r="C103" s="1"/>
      <c r="D103" s="1"/>
      <c r="E103" s="64"/>
      <c r="F103" s="6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13.5" customHeight="1" x14ac:dyDescent="0.3">
      <c r="A104" s="1"/>
      <c r="B104" s="1"/>
      <c r="C104" s="1"/>
      <c r="D104" s="1"/>
      <c r="E104" s="64"/>
      <c r="F104" s="6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3.5" customHeight="1" x14ac:dyDescent="0.3">
      <c r="A105" s="1"/>
      <c r="B105" s="1"/>
      <c r="C105" s="1"/>
      <c r="D105" s="1"/>
      <c r="E105" s="64"/>
      <c r="F105" s="6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3.5" customHeight="1" x14ac:dyDescent="0.3">
      <c r="A106" s="1"/>
      <c r="B106" s="1"/>
      <c r="C106" s="1"/>
      <c r="D106" s="1"/>
      <c r="E106" s="64"/>
      <c r="F106" s="6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t="13.5" customHeight="1" x14ac:dyDescent="0.3">
      <c r="A107" s="1"/>
      <c r="B107" s="1"/>
      <c r="C107" s="1"/>
      <c r="D107" s="1"/>
      <c r="E107" s="64"/>
      <c r="F107" s="6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3.5" customHeight="1" x14ac:dyDescent="0.3">
      <c r="A108" s="1"/>
      <c r="B108" s="1"/>
      <c r="C108" s="1"/>
      <c r="D108" s="1"/>
      <c r="E108" s="64"/>
      <c r="F108" s="6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t="13.5" customHeight="1" x14ac:dyDescent="0.3">
      <c r="A109" s="1"/>
      <c r="B109" s="1"/>
      <c r="C109" s="1"/>
      <c r="D109" s="1"/>
      <c r="E109" s="64"/>
      <c r="F109" s="6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t="13.5" customHeight="1" x14ac:dyDescent="0.3">
      <c r="A110" s="1"/>
      <c r="B110" s="1"/>
      <c r="C110" s="1"/>
      <c r="D110" s="1"/>
      <c r="E110" s="64"/>
      <c r="F110" s="6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ht="13.5" customHeight="1" x14ac:dyDescent="0.3">
      <c r="A111" s="1"/>
      <c r="B111" s="1"/>
      <c r="C111" s="1"/>
      <c r="D111" s="1"/>
      <c r="E111" s="64"/>
      <c r="F111" s="6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ht="13.5" customHeight="1" x14ac:dyDescent="0.3">
      <c r="A112" s="1"/>
      <c r="B112" s="1"/>
      <c r="C112" s="1"/>
      <c r="D112" s="1"/>
      <c r="E112" s="64"/>
      <c r="F112" s="6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t="13.5" customHeight="1" x14ac:dyDescent="0.3">
      <c r="A113" s="1"/>
      <c r="B113" s="1"/>
      <c r="C113" s="1"/>
      <c r="D113" s="1"/>
      <c r="E113" s="64"/>
      <c r="F113" s="6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t="13.5" customHeight="1" x14ac:dyDescent="0.3">
      <c r="A114" s="1"/>
      <c r="B114" s="1"/>
      <c r="C114" s="1"/>
      <c r="D114" s="1"/>
      <c r="E114" s="64"/>
      <c r="F114" s="6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t="13.5" customHeight="1" x14ac:dyDescent="0.3">
      <c r="A115" s="1"/>
      <c r="B115" s="1"/>
      <c r="C115" s="1"/>
      <c r="D115" s="1"/>
      <c r="E115" s="64"/>
      <c r="F115" s="6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t="13.5" customHeight="1" x14ac:dyDescent="0.3">
      <c r="A116" s="1"/>
      <c r="B116" s="1"/>
      <c r="C116" s="1"/>
      <c r="D116" s="1"/>
      <c r="E116" s="64"/>
      <c r="F116" s="6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ht="13.5" customHeight="1" x14ac:dyDescent="0.3">
      <c r="A117" s="1"/>
      <c r="B117" s="1"/>
      <c r="C117" s="1"/>
      <c r="D117" s="1"/>
      <c r="E117" s="64"/>
      <c r="F117" s="6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ht="13.5" customHeight="1" x14ac:dyDescent="0.3">
      <c r="A118" s="1"/>
      <c r="B118" s="1"/>
      <c r="C118" s="1"/>
      <c r="D118" s="1"/>
      <c r="E118" s="64"/>
      <c r="F118" s="6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t="13.5" customHeight="1" x14ac:dyDescent="0.3">
      <c r="A119" s="1"/>
      <c r="B119" s="1"/>
      <c r="C119" s="1"/>
      <c r="D119" s="1"/>
      <c r="E119" s="64"/>
      <c r="F119" s="6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t="13.5" customHeight="1" x14ac:dyDescent="0.3">
      <c r="A120" s="1"/>
      <c r="B120" s="1"/>
      <c r="C120" s="1"/>
      <c r="D120" s="1"/>
      <c r="E120" s="64"/>
      <c r="F120" s="6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ht="13.5" customHeight="1" x14ac:dyDescent="0.3">
      <c r="A121" s="1"/>
      <c r="B121" s="1"/>
      <c r="C121" s="1"/>
      <c r="D121" s="1"/>
      <c r="E121" s="64"/>
      <c r="F121" s="6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ht="13.5" customHeight="1" x14ac:dyDescent="0.3">
      <c r="A122" s="1"/>
      <c r="B122" s="1"/>
      <c r="C122" s="1"/>
      <c r="D122" s="1"/>
      <c r="E122" s="64"/>
      <c r="F122" s="6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ht="13.5" customHeight="1" x14ac:dyDescent="0.3">
      <c r="A123" s="1"/>
      <c r="B123" s="1"/>
      <c r="C123" s="1"/>
      <c r="D123" s="1"/>
      <c r="E123" s="64"/>
      <c r="F123" s="6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ht="13.5" customHeight="1" x14ac:dyDescent="0.3">
      <c r="A124" s="1"/>
      <c r="B124" s="1"/>
      <c r="C124" s="1"/>
      <c r="D124" s="1"/>
      <c r="E124" s="64"/>
      <c r="F124" s="6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ht="13.5" customHeight="1" x14ac:dyDescent="0.3">
      <c r="A125" s="1"/>
      <c r="B125" s="1"/>
      <c r="C125" s="1"/>
      <c r="D125" s="1"/>
      <c r="E125" s="64"/>
      <c r="F125" s="6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ht="13.5" customHeight="1" x14ac:dyDescent="0.3">
      <c r="A126" s="1"/>
      <c r="B126" s="1"/>
      <c r="C126" s="1"/>
      <c r="D126" s="1"/>
      <c r="E126" s="64"/>
      <c r="F126" s="6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ht="13.5" customHeight="1" x14ac:dyDescent="0.3">
      <c r="A127" s="1"/>
      <c r="B127" s="1"/>
      <c r="C127" s="1"/>
      <c r="D127" s="1"/>
      <c r="E127" s="64"/>
      <c r="F127" s="6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ht="13.5" customHeight="1" x14ac:dyDescent="0.3">
      <c r="A128" s="1"/>
      <c r="B128" s="1"/>
      <c r="C128" s="1"/>
      <c r="D128" s="1"/>
      <c r="E128" s="64"/>
      <c r="F128" s="6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ht="13.5" customHeight="1" x14ac:dyDescent="0.3">
      <c r="A129" s="1"/>
      <c r="B129" s="1"/>
      <c r="C129" s="1"/>
      <c r="D129" s="1"/>
      <c r="E129" s="64"/>
      <c r="F129" s="6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ht="13.5" customHeight="1" x14ac:dyDescent="0.3">
      <c r="A130" s="1"/>
      <c r="B130" s="1"/>
      <c r="C130" s="1"/>
      <c r="D130" s="1"/>
      <c r="E130" s="64"/>
      <c r="F130" s="6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ht="13.5" customHeight="1" x14ac:dyDescent="0.3">
      <c r="A131" s="1"/>
      <c r="B131" s="1"/>
      <c r="C131" s="1"/>
      <c r="D131" s="1"/>
      <c r="E131" s="64"/>
      <c r="F131" s="6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ht="13.5" customHeight="1" x14ac:dyDescent="0.3">
      <c r="A132" s="1"/>
      <c r="B132" s="1"/>
      <c r="C132" s="1"/>
      <c r="D132" s="1"/>
      <c r="E132" s="64"/>
      <c r="F132" s="6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ht="13.5" customHeight="1" x14ac:dyDescent="0.3">
      <c r="A133" s="1"/>
      <c r="B133" s="1"/>
      <c r="C133" s="1"/>
      <c r="D133" s="1"/>
      <c r="E133" s="64"/>
      <c r="F133" s="6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ht="13.5" customHeight="1" x14ac:dyDescent="0.3">
      <c r="A134" s="1"/>
      <c r="B134" s="1"/>
      <c r="C134" s="1"/>
      <c r="D134" s="1"/>
      <c r="E134" s="64"/>
      <c r="F134" s="6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ht="13.5" customHeight="1" x14ac:dyDescent="0.3">
      <c r="A135" s="1"/>
      <c r="B135" s="1"/>
      <c r="C135" s="1"/>
      <c r="D135" s="1"/>
      <c r="E135" s="64"/>
      <c r="F135" s="6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ht="13.5" customHeight="1" x14ac:dyDescent="0.3">
      <c r="A136" s="1"/>
      <c r="B136" s="1"/>
      <c r="C136" s="1"/>
      <c r="D136" s="1"/>
      <c r="E136" s="64"/>
      <c r="F136" s="6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ht="13.5" customHeight="1" x14ac:dyDescent="0.3">
      <c r="A137" s="1"/>
      <c r="B137" s="1"/>
      <c r="C137" s="1"/>
      <c r="D137" s="1"/>
      <c r="E137" s="64"/>
      <c r="F137" s="6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ht="13.5" customHeight="1" x14ac:dyDescent="0.3">
      <c r="A138" s="1"/>
      <c r="B138" s="1"/>
      <c r="C138" s="1"/>
      <c r="D138" s="1"/>
      <c r="E138" s="64"/>
      <c r="F138" s="6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ht="13.5" customHeight="1" x14ac:dyDescent="0.3">
      <c r="A139" s="1"/>
      <c r="B139" s="1"/>
      <c r="C139" s="1"/>
      <c r="D139" s="1"/>
      <c r="E139" s="64"/>
      <c r="F139" s="6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ht="13.5" customHeight="1" x14ac:dyDescent="0.3">
      <c r="A140" s="1"/>
      <c r="B140" s="1"/>
      <c r="C140" s="1"/>
      <c r="D140" s="1"/>
      <c r="E140" s="64"/>
      <c r="F140" s="6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ht="13.5" customHeight="1" x14ac:dyDescent="0.3">
      <c r="A141" s="1"/>
      <c r="B141" s="1"/>
      <c r="C141" s="1"/>
      <c r="D141" s="1"/>
      <c r="E141" s="64"/>
      <c r="F141" s="6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ht="13.5" customHeight="1" x14ac:dyDescent="0.3">
      <c r="A142" s="1"/>
      <c r="B142" s="1"/>
      <c r="C142" s="1"/>
      <c r="D142" s="1"/>
      <c r="E142" s="64"/>
      <c r="F142" s="6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ht="13.5" customHeight="1" x14ac:dyDescent="0.3">
      <c r="A143" s="1"/>
      <c r="B143" s="1"/>
      <c r="C143" s="1"/>
      <c r="D143" s="1"/>
      <c r="E143" s="64"/>
      <c r="F143" s="6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ht="13.5" customHeight="1" x14ac:dyDescent="0.3">
      <c r="A144" s="1"/>
      <c r="B144" s="1"/>
      <c r="C144" s="1"/>
      <c r="D144" s="1"/>
      <c r="E144" s="64"/>
      <c r="F144" s="6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ht="13.5" customHeight="1" x14ac:dyDescent="0.3">
      <c r="A145" s="1"/>
      <c r="B145" s="1"/>
      <c r="C145" s="1"/>
      <c r="D145" s="1"/>
      <c r="E145" s="64"/>
      <c r="F145" s="6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ht="13.5" customHeight="1" x14ac:dyDescent="0.3">
      <c r="A146" s="1"/>
      <c r="B146" s="1"/>
      <c r="C146" s="1"/>
      <c r="D146" s="1"/>
      <c r="E146" s="64"/>
      <c r="F146" s="6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ht="13.5" customHeight="1" x14ac:dyDescent="0.3">
      <c r="A147" s="1"/>
      <c r="B147" s="1"/>
      <c r="C147" s="1"/>
      <c r="D147" s="1"/>
      <c r="E147" s="64"/>
      <c r="F147" s="6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ht="13.5" customHeight="1" x14ac:dyDescent="0.3">
      <c r="A148" s="1"/>
      <c r="B148" s="1"/>
      <c r="C148" s="1"/>
      <c r="D148" s="1"/>
      <c r="E148" s="64"/>
      <c r="F148" s="6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ht="13.5" customHeight="1" x14ac:dyDescent="0.3">
      <c r="A149" s="1"/>
      <c r="B149" s="1"/>
      <c r="C149" s="1"/>
      <c r="D149" s="1"/>
      <c r="E149" s="64"/>
      <c r="F149" s="6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ht="13.5" customHeight="1" x14ac:dyDescent="0.3">
      <c r="A150" s="1"/>
      <c r="B150" s="1"/>
      <c r="C150" s="1"/>
      <c r="D150" s="1"/>
      <c r="E150" s="64"/>
      <c r="F150" s="6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ht="13.5" customHeight="1" x14ac:dyDescent="0.3">
      <c r="A151" s="1"/>
      <c r="B151" s="1"/>
      <c r="C151" s="1"/>
      <c r="D151" s="1"/>
      <c r="E151" s="64"/>
      <c r="F151" s="6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ht="13.5" customHeight="1" x14ac:dyDescent="0.3">
      <c r="A152" s="1"/>
      <c r="B152" s="1"/>
      <c r="C152" s="1"/>
      <c r="D152" s="1"/>
      <c r="E152" s="64"/>
      <c r="F152" s="6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ht="13.5" customHeight="1" x14ac:dyDescent="0.3">
      <c r="A153" s="1"/>
      <c r="B153" s="1"/>
      <c r="C153" s="1"/>
      <c r="D153" s="1"/>
      <c r="E153" s="64"/>
      <c r="F153" s="6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ht="13.5" customHeight="1" x14ac:dyDescent="0.3">
      <c r="A154" s="1"/>
      <c r="B154" s="1"/>
      <c r="C154" s="1"/>
      <c r="D154" s="1"/>
      <c r="E154" s="64"/>
      <c r="F154" s="6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ht="13.5" customHeight="1" x14ac:dyDescent="0.3">
      <c r="A155" s="1"/>
      <c r="B155" s="1"/>
      <c r="C155" s="1"/>
      <c r="D155" s="1"/>
      <c r="E155" s="64"/>
      <c r="F155" s="6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ht="13.5" customHeight="1" x14ac:dyDescent="0.3">
      <c r="A156" s="1"/>
      <c r="B156" s="1"/>
      <c r="C156" s="1"/>
      <c r="D156" s="1"/>
      <c r="E156" s="64"/>
      <c r="F156" s="6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ht="13.5" customHeight="1" x14ac:dyDescent="0.3">
      <c r="A157" s="1"/>
      <c r="B157" s="1"/>
      <c r="C157" s="1"/>
      <c r="D157" s="1"/>
      <c r="E157" s="64"/>
      <c r="F157" s="6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ht="13.5" customHeight="1" x14ac:dyDescent="0.3">
      <c r="A158" s="1"/>
      <c r="B158" s="1"/>
      <c r="C158" s="1"/>
      <c r="D158" s="1"/>
      <c r="E158" s="64"/>
      <c r="F158" s="6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ht="13.5" customHeight="1" x14ac:dyDescent="0.3">
      <c r="A159" s="1"/>
      <c r="B159" s="1"/>
      <c r="C159" s="1"/>
      <c r="D159" s="1"/>
      <c r="E159" s="64"/>
      <c r="F159" s="6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ht="13.5" customHeight="1" x14ac:dyDescent="0.3">
      <c r="A160" s="1"/>
      <c r="B160" s="1"/>
      <c r="C160" s="1"/>
      <c r="D160" s="1"/>
      <c r="E160" s="64"/>
      <c r="F160" s="6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ht="13.5" customHeight="1" x14ac:dyDescent="0.3">
      <c r="A161" s="1"/>
      <c r="B161" s="1"/>
      <c r="C161" s="1"/>
      <c r="D161" s="1"/>
      <c r="E161" s="64"/>
      <c r="F161" s="6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ht="13.5" customHeight="1" x14ac:dyDescent="0.3">
      <c r="A162" s="1"/>
      <c r="B162" s="1"/>
      <c r="C162" s="1"/>
      <c r="D162" s="1"/>
      <c r="E162" s="64"/>
      <c r="F162" s="6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ht="13.5" customHeight="1" x14ac:dyDescent="0.3">
      <c r="A163" s="1"/>
      <c r="B163" s="1"/>
      <c r="C163" s="1"/>
      <c r="D163" s="1"/>
      <c r="E163" s="64"/>
      <c r="F163" s="6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ht="13.5" customHeight="1" x14ac:dyDescent="0.3">
      <c r="A164" s="1"/>
      <c r="B164" s="1"/>
      <c r="C164" s="1"/>
      <c r="D164" s="1"/>
      <c r="E164" s="64"/>
      <c r="F164" s="6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ht="13.5" customHeight="1" x14ac:dyDescent="0.3">
      <c r="A165" s="1"/>
      <c r="B165" s="1"/>
      <c r="C165" s="1"/>
      <c r="D165" s="1"/>
      <c r="E165" s="64"/>
      <c r="F165" s="6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ht="13.5" customHeight="1" x14ac:dyDescent="0.3">
      <c r="A166" s="1"/>
      <c r="B166" s="1"/>
      <c r="C166" s="1"/>
      <c r="D166" s="1"/>
      <c r="E166" s="64"/>
      <c r="F166" s="6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ht="13.5" customHeight="1" x14ac:dyDescent="0.3">
      <c r="A167" s="1"/>
      <c r="B167" s="1"/>
      <c r="C167" s="1"/>
      <c r="D167" s="1"/>
      <c r="E167" s="64"/>
      <c r="F167" s="6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ht="13.5" customHeight="1" x14ac:dyDescent="0.3">
      <c r="A168" s="1"/>
      <c r="B168" s="1"/>
      <c r="C168" s="1"/>
      <c r="D168" s="1"/>
      <c r="E168" s="64"/>
      <c r="F168" s="6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ht="13.5" customHeight="1" x14ac:dyDescent="0.3">
      <c r="A169" s="1"/>
      <c r="B169" s="1"/>
      <c r="C169" s="1"/>
      <c r="D169" s="1"/>
      <c r="E169" s="64"/>
      <c r="F169" s="6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ht="13.5" customHeight="1" x14ac:dyDescent="0.3">
      <c r="A170" s="1"/>
      <c r="B170" s="1"/>
      <c r="C170" s="1"/>
      <c r="D170" s="1"/>
      <c r="E170" s="64"/>
      <c r="F170" s="6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ht="13.5" customHeight="1" x14ac:dyDescent="0.3">
      <c r="A171" s="1"/>
      <c r="B171" s="1"/>
      <c r="C171" s="1"/>
      <c r="D171" s="1"/>
      <c r="E171" s="64"/>
      <c r="F171" s="6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ht="13.5" customHeight="1" x14ac:dyDescent="0.3">
      <c r="A172" s="1"/>
      <c r="B172" s="1"/>
      <c r="C172" s="1"/>
      <c r="D172" s="1"/>
      <c r="E172" s="64"/>
      <c r="F172" s="6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ht="13.5" customHeight="1" x14ac:dyDescent="0.3">
      <c r="A173" s="1"/>
      <c r="B173" s="1"/>
      <c r="C173" s="1"/>
      <c r="D173" s="1"/>
      <c r="E173" s="64"/>
      <c r="F173" s="6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ht="13.5" customHeight="1" x14ac:dyDescent="0.3">
      <c r="A174" s="1"/>
      <c r="B174" s="1"/>
      <c r="C174" s="1"/>
      <c r="D174" s="1"/>
      <c r="E174" s="64"/>
      <c r="F174" s="6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ht="13.5" customHeight="1" x14ac:dyDescent="0.3">
      <c r="A175" s="1"/>
      <c r="B175" s="1"/>
      <c r="C175" s="1"/>
      <c r="D175" s="1"/>
      <c r="E175" s="64"/>
      <c r="F175" s="6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ht="13.5" customHeight="1" x14ac:dyDescent="0.3">
      <c r="A176" s="1"/>
      <c r="B176" s="1"/>
      <c r="C176" s="1"/>
      <c r="D176" s="1"/>
      <c r="E176" s="64"/>
      <c r="F176" s="6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ht="13.5" customHeight="1" x14ac:dyDescent="0.3">
      <c r="A177" s="1"/>
      <c r="B177" s="1"/>
      <c r="C177" s="1"/>
      <c r="D177" s="1"/>
      <c r="E177" s="64"/>
      <c r="F177" s="6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ht="13.5" customHeight="1" x14ac:dyDescent="0.3">
      <c r="A178" s="1"/>
      <c r="B178" s="1"/>
      <c r="C178" s="1"/>
      <c r="D178" s="1"/>
      <c r="E178" s="64"/>
      <c r="F178" s="6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ht="13.5" customHeight="1" x14ac:dyDescent="0.3">
      <c r="A179" s="1"/>
      <c r="B179" s="1"/>
      <c r="C179" s="1"/>
      <c r="D179" s="1"/>
      <c r="E179" s="64"/>
      <c r="F179" s="6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ht="13.5" customHeight="1" x14ac:dyDescent="0.3">
      <c r="A180" s="1"/>
      <c r="B180" s="1"/>
      <c r="C180" s="1"/>
      <c r="D180" s="1"/>
      <c r="E180" s="64"/>
      <c r="F180" s="6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ht="13.5" customHeight="1" x14ac:dyDescent="0.3">
      <c r="A181" s="1"/>
      <c r="B181" s="1"/>
      <c r="C181" s="1"/>
      <c r="D181" s="1"/>
      <c r="E181" s="64"/>
      <c r="F181" s="6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ht="13.5" customHeight="1" x14ac:dyDescent="0.3">
      <c r="A182" s="1"/>
      <c r="B182" s="1"/>
      <c r="C182" s="1"/>
      <c r="D182" s="1"/>
      <c r="E182" s="64"/>
      <c r="F182" s="6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ht="13.5" customHeight="1" x14ac:dyDescent="0.3">
      <c r="A183" s="1"/>
      <c r="B183" s="1"/>
      <c r="C183" s="1"/>
      <c r="D183" s="1"/>
      <c r="E183" s="64"/>
      <c r="F183" s="6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ht="13.5" customHeight="1" x14ac:dyDescent="0.3">
      <c r="A184" s="1"/>
      <c r="B184" s="1"/>
      <c r="C184" s="1"/>
      <c r="D184" s="1"/>
      <c r="E184" s="64"/>
      <c r="F184" s="6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ht="13.5" customHeight="1" x14ac:dyDescent="0.3">
      <c r="A185" s="1"/>
      <c r="B185" s="1"/>
      <c r="C185" s="1"/>
      <c r="D185" s="1"/>
      <c r="E185" s="64"/>
      <c r="F185" s="6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ht="13.5" customHeight="1" x14ac:dyDescent="0.3">
      <c r="A186" s="1"/>
      <c r="B186" s="1"/>
      <c r="C186" s="1"/>
      <c r="D186" s="1"/>
      <c r="E186" s="64"/>
      <c r="F186" s="6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ht="13.5" customHeight="1" x14ac:dyDescent="0.3">
      <c r="A187" s="1"/>
      <c r="B187" s="1"/>
      <c r="C187" s="1"/>
      <c r="D187" s="1"/>
      <c r="E187" s="64"/>
      <c r="F187" s="6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ht="13.5" customHeight="1" x14ac:dyDescent="0.3">
      <c r="A188" s="1"/>
      <c r="B188" s="1"/>
      <c r="C188" s="1"/>
      <c r="D188" s="1"/>
      <c r="E188" s="64"/>
      <c r="F188" s="6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ht="13.5" customHeight="1" x14ac:dyDescent="0.3">
      <c r="A189" s="1"/>
      <c r="B189" s="1"/>
      <c r="C189" s="1"/>
      <c r="D189" s="1"/>
      <c r="E189" s="64"/>
      <c r="F189" s="6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ht="13.5" customHeight="1" x14ac:dyDescent="0.3">
      <c r="A190" s="1"/>
      <c r="B190" s="1"/>
      <c r="C190" s="1"/>
      <c r="D190" s="1"/>
      <c r="E190" s="64"/>
      <c r="F190" s="6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ht="13.5" customHeight="1" x14ac:dyDescent="0.3">
      <c r="A191" s="1"/>
      <c r="B191" s="1"/>
      <c r="C191" s="1"/>
      <c r="D191" s="1"/>
      <c r="E191" s="64"/>
      <c r="F191" s="6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ht="13.5" customHeight="1" x14ac:dyDescent="0.3">
      <c r="A192" s="1"/>
      <c r="B192" s="1"/>
      <c r="C192" s="1"/>
      <c r="D192" s="1"/>
      <c r="E192" s="64"/>
      <c r="F192" s="6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ht="13.5" customHeight="1" x14ac:dyDescent="0.3">
      <c r="A193" s="1"/>
      <c r="B193" s="1"/>
      <c r="C193" s="1"/>
      <c r="D193" s="1"/>
      <c r="E193" s="64"/>
      <c r="F193" s="6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ht="13.5" customHeight="1" x14ac:dyDescent="0.3">
      <c r="A194" s="1"/>
      <c r="B194" s="1"/>
      <c r="C194" s="1"/>
      <c r="D194" s="1"/>
      <c r="E194" s="64"/>
      <c r="F194" s="6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ht="13.5" customHeight="1" x14ac:dyDescent="0.3">
      <c r="A195" s="1"/>
      <c r="B195" s="1"/>
      <c r="C195" s="1"/>
      <c r="D195" s="1"/>
      <c r="E195" s="64"/>
      <c r="F195" s="6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ht="13.5" customHeight="1" x14ac:dyDescent="0.3">
      <c r="A196" s="1"/>
      <c r="B196" s="1"/>
      <c r="C196" s="1"/>
      <c r="D196" s="1"/>
      <c r="E196" s="64"/>
      <c r="F196" s="6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ht="13.5" customHeight="1" x14ac:dyDescent="0.3">
      <c r="A197" s="1"/>
      <c r="B197" s="1"/>
      <c r="C197" s="1"/>
      <c r="D197" s="1"/>
      <c r="E197" s="64"/>
      <c r="F197" s="6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ht="13.5" customHeight="1" x14ac:dyDescent="0.3">
      <c r="A198" s="1"/>
      <c r="B198" s="1"/>
      <c r="C198" s="1"/>
      <c r="D198" s="1"/>
      <c r="E198" s="64"/>
      <c r="F198" s="6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ht="13.5" customHeight="1" x14ac:dyDescent="0.3">
      <c r="A199" s="1"/>
      <c r="B199" s="1"/>
      <c r="C199" s="1"/>
      <c r="D199" s="1"/>
      <c r="E199" s="64"/>
      <c r="F199" s="6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ht="13.5" customHeight="1" x14ac:dyDescent="0.3">
      <c r="A200" s="1"/>
      <c r="B200" s="1"/>
      <c r="C200" s="1"/>
      <c r="D200" s="1"/>
      <c r="E200" s="64"/>
      <c r="F200" s="6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ht="13.5" customHeight="1" x14ac:dyDescent="0.3">
      <c r="A201" s="1"/>
      <c r="B201" s="1"/>
      <c r="C201" s="1"/>
      <c r="D201" s="1"/>
      <c r="E201" s="64"/>
      <c r="F201" s="6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ht="13.5" customHeight="1" x14ac:dyDescent="0.3">
      <c r="A202" s="1"/>
      <c r="B202" s="1"/>
      <c r="C202" s="1"/>
      <c r="D202" s="1"/>
      <c r="E202" s="64"/>
      <c r="F202" s="6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ht="13.5" customHeight="1" x14ac:dyDescent="0.3">
      <c r="A203" s="1"/>
      <c r="B203" s="1"/>
      <c r="C203" s="1"/>
      <c r="D203" s="1"/>
      <c r="E203" s="64"/>
      <c r="F203" s="6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ht="13.5" customHeight="1" x14ac:dyDescent="0.3">
      <c r="A204" s="1"/>
      <c r="B204" s="1"/>
      <c r="C204" s="1"/>
      <c r="D204" s="1"/>
      <c r="E204" s="64"/>
      <c r="F204" s="6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ht="13.5" customHeight="1" x14ac:dyDescent="0.3">
      <c r="A205" s="1"/>
      <c r="B205" s="1"/>
      <c r="C205" s="1"/>
      <c r="D205" s="1"/>
      <c r="E205" s="64"/>
      <c r="F205" s="6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ht="13.5" customHeight="1" x14ac:dyDescent="0.3">
      <c r="A206" s="1"/>
      <c r="B206" s="1"/>
      <c r="C206" s="1"/>
      <c r="D206" s="1"/>
      <c r="E206" s="64"/>
      <c r="F206" s="6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ht="13.5" customHeight="1" x14ac:dyDescent="0.3">
      <c r="A207" s="1"/>
      <c r="B207" s="1"/>
      <c r="C207" s="1"/>
      <c r="D207" s="1"/>
      <c r="E207" s="64"/>
      <c r="F207" s="6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ht="13.5" customHeight="1" x14ac:dyDescent="0.3">
      <c r="A208" s="1"/>
      <c r="B208" s="1"/>
      <c r="C208" s="1"/>
      <c r="D208" s="1"/>
      <c r="E208" s="64"/>
      <c r="F208" s="6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ht="13.5" customHeight="1" x14ac:dyDescent="0.3">
      <c r="A209" s="1"/>
      <c r="B209" s="1"/>
      <c r="C209" s="1"/>
      <c r="D209" s="1"/>
      <c r="E209" s="64"/>
      <c r="F209" s="6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ht="13.5" customHeight="1" x14ac:dyDescent="0.3">
      <c r="A210" s="1"/>
      <c r="B210" s="1"/>
      <c r="C210" s="1"/>
      <c r="D210" s="1"/>
      <c r="E210" s="64"/>
      <c r="F210" s="6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ht="13.5" customHeight="1" x14ac:dyDescent="0.3">
      <c r="A211" s="1"/>
      <c r="B211" s="1"/>
      <c r="C211" s="1"/>
      <c r="D211" s="1"/>
      <c r="E211" s="64"/>
      <c r="F211" s="6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ht="13.5" customHeight="1" x14ac:dyDescent="0.3">
      <c r="A212" s="1"/>
      <c r="B212" s="1"/>
      <c r="C212" s="1"/>
      <c r="D212" s="1"/>
      <c r="E212" s="64"/>
      <c r="F212" s="6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ht="13.5" customHeight="1" x14ac:dyDescent="0.3">
      <c r="A213" s="1"/>
      <c r="B213" s="1"/>
      <c r="C213" s="1"/>
      <c r="D213" s="1"/>
      <c r="E213" s="64"/>
      <c r="F213" s="6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ht="13.5" customHeight="1" x14ac:dyDescent="0.3">
      <c r="A214" s="1"/>
      <c r="B214" s="1"/>
      <c r="C214" s="1"/>
      <c r="D214" s="1"/>
      <c r="E214" s="64"/>
      <c r="F214" s="6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ht="13.5" customHeight="1" x14ac:dyDescent="0.3">
      <c r="A215" s="1"/>
      <c r="B215" s="1"/>
      <c r="C215" s="1"/>
      <c r="D215" s="1"/>
      <c r="E215" s="64"/>
      <c r="F215" s="6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ht="13.5" customHeight="1" x14ac:dyDescent="0.3">
      <c r="A216" s="1"/>
      <c r="B216" s="1"/>
      <c r="C216" s="1"/>
      <c r="D216" s="1"/>
      <c r="E216" s="64"/>
      <c r="F216" s="6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ht="13.5" customHeight="1" x14ac:dyDescent="0.3">
      <c r="A217" s="1"/>
      <c r="B217" s="1"/>
      <c r="C217" s="1"/>
      <c r="D217" s="1"/>
      <c r="E217" s="64"/>
      <c r="F217" s="6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ht="13.5" customHeight="1" x14ac:dyDescent="0.3">
      <c r="A218" s="1"/>
      <c r="B218" s="1"/>
      <c r="C218" s="1"/>
      <c r="D218" s="1"/>
      <c r="E218" s="64"/>
      <c r="F218" s="6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ht="13.5" customHeight="1" x14ac:dyDescent="0.3">
      <c r="A219" s="1"/>
      <c r="B219" s="1"/>
      <c r="C219" s="1"/>
      <c r="D219" s="1"/>
      <c r="E219" s="64"/>
      <c r="F219" s="6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ht="13.5" customHeight="1" x14ac:dyDescent="0.3">
      <c r="A220" s="1"/>
      <c r="B220" s="1"/>
      <c r="C220" s="1"/>
      <c r="D220" s="1"/>
      <c r="E220" s="64"/>
      <c r="F220" s="6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ht="13.5" customHeight="1" x14ac:dyDescent="0.3">
      <c r="A221" s="1"/>
      <c r="B221" s="1"/>
      <c r="C221" s="1"/>
      <c r="D221" s="1"/>
      <c r="E221" s="64"/>
      <c r="F221" s="6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ht="13.5" customHeight="1" x14ac:dyDescent="0.3">
      <c r="A222" s="1"/>
      <c r="B222" s="1"/>
      <c r="C222" s="1"/>
      <c r="D222" s="1"/>
      <c r="E222" s="64"/>
      <c r="F222" s="6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ht="13.5" customHeight="1" x14ac:dyDescent="0.3">
      <c r="A223" s="1"/>
      <c r="B223" s="1"/>
      <c r="C223" s="1"/>
      <c r="D223" s="1"/>
      <c r="E223" s="64"/>
      <c r="F223" s="6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ht="13.5" customHeight="1" x14ac:dyDescent="0.3">
      <c r="A224" s="1"/>
      <c r="B224" s="1"/>
      <c r="C224" s="1"/>
      <c r="D224" s="1"/>
      <c r="E224" s="64"/>
      <c r="F224" s="6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ht="13.5" customHeight="1" x14ac:dyDescent="0.3">
      <c r="A225" s="1"/>
      <c r="B225" s="1"/>
      <c r="C225" s="1"/>
      <c r="D225" s="1"/>
      <c r="E225" s="64"/>
      <c r="F225" s="6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ht="13.5" customHeight="1" x14ac:dyDescent="0.3">
      <c r="A226" s="1"/>
      <c r="B226" s="1"/>
      <c r="C226" s="1"/>
      <c r="D226" s="1"/>
      <c r="E226" s="64"/>
      <c r="F226" s="6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ht="13.5" customHeight="1" x14ac:dyDescent="0.3">
      <c r="A227" s="1"/>
      <c r="B227" s="1"/>
      <c r="C227" s="1"/>
      <c r="D227" s="1"/>
      <c r="E227" s="64"/>
      <c r="F227" s="6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ht="13.5" customHeight="1" x14ac:dyDescent="0.3">
      <c r="A228" s="1"/>
      <c r="B228" s="1"/>
      <c r="C228" s="1"/>
      <c r="D228" s="1"/>
      <c r="E228" s="64"/>
      <c r="F228" s="6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ht="13.5" customHeight="1" x14ac:dyDescent="0.3">
      <c r="A229" s="1"/>
      <c r="B229" s="1"/>
      <c r="C229" s="1"/>
      <c r="D229" s="1"/>
      <c r="E229" s="64"/>
      <c r="F229" s="6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ht="13.5" customHeight="1" x14ac:dyDescent="0.3">
      <c r="A230" s="1"/>
      <c r="B230" s="1"/>
      <c r="C230" s="1"/>
      <c r="D230" s="1"/>
      <c r="E230" s="64"/>
      <c r="F230" s="6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ht="13.5" customHeight="1" x14ac:dyDescent="0.3">
      <c r="A231" s="1"/>
      <c r="B231" s="1"/>
      <c r="C231" s="1"/>
      <c r="D231" s="1"/>
      <c r="E231" s="64"/>
      <c r="F231" s="6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ht="13.5" customHeight="1" x14ac:dyDescent="0.3">
      <c r="A232" s="1"/>
      <c r="B232" s="1"/>
      <c r="C232" s="1"/>
      <c r="D232" s="1"/>
      <c r="E232" s="64"/>
      <c r="F232" s="6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ht="13.5" customHeight="1" x14ac:dyDescent="0.3">
      <c r="A233" s="1"/>
      <c r="B233" s="1"/>
      <c r="C233" s="1"/>
      <c r="D233" s="1"/>
      <c r="E233" s="64"/>
      <c r="F233" s="6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ht="13.5" customHeight="1" x14ac:dyDescent="0.3">
      <c r="A234" s="1"/>
      <c r="B234" s="1"/>
      <c r="C234" s="1"/>
      <c r="D234" s="1"/>
      <c r="E234" s="64"/>
      <c r="F234" s="6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ht="13.5" customHeight="1" x14ac:dyDescent="0.3">
      <c r="A235" s="1"/>
      <c r="B235" s="1"/>
      <c r="C235" s="1"/>
      <c r="D235" s="1"/>
      <c r="E235" s="64"/>
      <c r="F235" s="6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ht="13.5" customHeight="1" x14ac:dyDescent="0.3">
      <c r="A236" s="1"/>
      <c r="B236" s="1"/>
      <c r="C236" s="1"/>
      <c r="D236" s="1"/>
      <c r="E236" s="64"/>
      <c r="F236" s="6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ht="13.5" customHeight="1" x14ac:dyDescent="0.3">
      <c r="A237" s="1"/>
      <c r="B237" s="1"/>
      <c r="C237" s="1"/>
      <c r="D237" s="1"/>
      <c r="E237" s="64"/>
      <c r="F237" s="6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ht="13.5" customHeight="1" x14ac:dyDescent="0.3">
      <c r="A238" s="1"/>
      <c r="B238" s="1"/>
      <c r="C238" s="1"/>
      <c r="D238" s="1"/>
      <c r="E238" s="64"/>
      <c r="F238" s="6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ht="13.5" customHeight="1" x14ac:dyDescent="0.3">
      <c r="A239" s="1"/>
      <c r="B239" s="1"/>
      <c r="C239" s="1"/>
      <c r="D239" s="1"/>
      <c r="E239" s="64"/>
      <c r="F239" s="6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ht="13.5" customHeight="1" x14ac:dyDescent="0.3">
      <c r="A240" s="1"/>
      <c r="B240" s="1"/>
      <c r="C240" s="1"/>
      <c r="D240" s="1"/>
      <c r="E240" s="64"/>
      <c r="F240" s="6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ht="13.5" customHeight="1" x14ac:dyDescent="0.3">
      <c r="A241" s="1"/>
      <c r="B241" s="1"/>
      <c r="C241" s="1"/>
      <c r="D241" s="1"/>
      <c r="E241" s="64"/>
      <c r="F241" s="6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ht="13.5" customHeight="1" x14ac:dyDescent="0.3">
      <c r="A242" s="1"/>
      <c r="B242" s="1"/>
      <c r="C242" s="1"/>
      <c r="D242" s="1"/>
      <c r="E242" s="64"/>
      <c r="F242" s="6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ht="13.5" customHeight="1" x14ac:dyDescent="0.3">
      <c r="A243" s="1"/>
      <c r="B243" s="1"/>
      <c r="C243" s="1"/>
      <c r="D243" s="1"/>
      <c r="E243" s="64"/>
      <c r="F243" s="6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ht="13.5" customHeight="1" x14ac:dyDescent="0.3">
      <c r="A244" s="1"/>
      <c r="B244" s="1"/>
      <c r="C244" s="1"/>
      <c r="D244" s="1"/>
      <c r="E244" s="64"/>
      <c r="F244" s="6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ht="13.5" customHeight="1" x14ac:dyDescent="0.3">
      <c r="A245" s="1"/>
      <c r="B245" s="1"/>
      <c r="C245" s="1"/>
      <c r="D245" s="1"/>
      <c r="E245" s="64"/>
      <c r="F245" s="6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ht="13.5" customHeight="1" x14ac:dyDescent="0.3">
      <c r="A246" s="1"/>
      <c r="B246" s="1"/>
      <c r="C246" s="1"/>
      <c r="D246" s="1"/>
      <c r="E246" s="64"/>
      <c r="F246" s="6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ht="13.5" customHeight="1" x14ac:dyDescent="0.3">
      <c r="A247" s="1"/>
      <c r="B247" s="1"/>
      <c r="C247" s="1"/>
      <c r="D247" s="1"/>
      <c r="E247" s="64"/>
      <c r="F247" s="6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ht="13.5" customHeight="1" x14ac:dyDescent="0.3">
      <c r="A248" s="1"/>
      <c r="B248" s="1"/>
      <c r="C248" s="1"/>
      <c r="D248" s="1"/>
      <c r="E248" s="64"/>
      <c r="F248" s="6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ht="13.5" customHeight="1" x14ac:dyDescent="0.3">
      <c r="A249" s="1"/>
      <c r="B249" s="1"/>
      <c r="C249" s="1"/>
      <c r="D249" s="1"/>
      <c r="E249" s="64"/>
      <c r="F249" s="6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ht="13.5" customHeight="1" x14ac:dyDescent="0.3">
      <c r="A250" s="1"/>
      <c r="B250" s="1"/>
      <c r="C250" s="1"/>
      <c r="D250" s="1"/>
      <c r="E250" s="64"/>
      <c r="F250" s="6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ht="13.5" customHeight="1" x14ac:dyDescent="0.3">
      <c r="A251" s="1"/>
      <c r="B251" s="1"/>
      <c r="C251" s="1"/>
      <c r="D251" s="1"/>
      <c r="E251" s="64"/>
      <c r="F251" s="6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ht="13.5" customHeight="1" x14ac:dyDescent="0.3">
      <c r="A252" s="1"/>
      <c r="B252" s="1"/>
      <c r="C252" s="1"/>
      <c r="D252" s="1"/>
      <c r="E252" s="64"/>
      <c r="F252" s="6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ht="13.5" customHeight="1" x14ac:dyDescent="0.3">
      <c r="A253" s="1"/>
      <c r="B253" s="1"/>
      <c r="C253" s="1"/>
      <c r="D253" s="1"/>
      <c r="E253" s="64"/>
      <c r="F253" s="6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ht="13.5" customHeight="1" x14ac:dyDescent="0.3">
      <c r="A254" s="1"/>
      <c r="B254" s="1"/>
      <c r="C254" s="1"/>
      <c r="D254" s="1"/>
      <c r="E254" s="64"/>
      <c r="F254" s="6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ht="13.5" customHeight="1" x14ac:dyDescent="0.3">
      <c r="A255" s="1"/>
      <c r="B255" s="181"/>
      <c r="C255" s="181"/>
      <c r="D255" s="181"/>
      <c r="E255" s="182"/>
      <c r="F255" s="182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  <c r="AC255" s="181"/>
      <c r="AD255" s="181"/>
      <c r="AE255" s="181"/>
      <c r="AF255" s="181"/>
      <c r="AG255" s="181"/>
      <c r="AH255" s="181"/>
      <c r="AI255" s="181"/>
      <c r="AJ255" s="181"/>
      <c r="AK255" s="181"/>
      <c r="AL255" s="181"/>
      <c r="AM255" s="181"/>
      <c r="AN255" s="181"/>
      <c r="AO255" s="181"/>
      <c r="AP255" s="181"/>
      <c r="AQ255" s="181"/>
      <c r="AR255" s="181"/>
      <c r="AS255" s="181"/>
      <c r="AT255" s="181"/>
      <c r="AU255" s="181"/>
      <c r="AV255" s="181"/>
      <c r="AW255" s="181"/>
    </row>
    <row r="256" spans="1:49" ht="13.5" customHeight="1" x14ac:dyDescent="0.3">
      <c r="A256" s="1"/>
      <c r="B256" s="181"/>
      <c r="C256" s="181"/>
      <c r="D256" s="181"/>
      <c r="E256" s="182"/>
      <c r="F256" s="182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  <c r="AC256" s="181"/>
      <c r="AD256" s="181"/>
      <c r="AE256" s="181"/>
      <c r="AF256" s="181"/>
      <c r="AG256" s="181"/>
      <c r="AH256" s="181"/>
      <c r="AI256" s="181"/>
      <c r="AJ256" s="181"/>
      <c r="AK256" s="181"/>
      <c r="AL256" s="181"/>
      <c r="AM256" s="181"/>
      <c r="AN256" s="181"/>
      <c r="AO256" s="181"/>
      <c r="AP256" s="181"/>
      <c r="AQ256" s="181"/>
      <c r="AR256" s="181"/>
      <c r="AS256" s="181"/>
      <c r="AT256" s="181"/>
      <c r="AU256" s="181"/>
      <c r="AV256" s="181"/>
      <c r="AW256" s="181"/>
    </row>
    <row r="257" spans="1:49" ht="13.5" customHeight="1" x14ac:dyDescent="0.3">
      <c r="A257" s="1"/>
      <c r="B257" s="181"/>
      <c r="C257" s="181"/>
      <c r="D257" s="181"/>
      <c r="E257" s="182"/>
      <c r="F257" s="182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  <c r="AC257" s="181"/>
      <c r="AD257" s="181"/>
      <c r="AE257" s="181"/>
      <c r="AF257" s="181"/>
      <c r="AG257" s="181"/>
      <c r="AH257" s="181"/>
      <c r="AI257" s="181"/>
      <c r="AJ257" s="181"/>
      <c r="AK257" s="181"/>
      <c r="AL257" s="181"/>
      <c r="AM257" s="181"/>
      <c r="AN257" s="181"/>
      <c r="AO257" s="181"/>
      <c r="AP257" s="181"/>
      <c r="AQ257" s="181"/>
      <c r="AR257" s="181"/>
      <c r="AS257" s="181"/>
      <c r="AT257" s="181"/>
      <c r="AU257" s="181"/>
      <c r="AV257" s="181"/>
      <c r="AW257" s="181"/>
    </row>
    <row r="258" spans="1:49" ht="13.5" customHeight="1" x14ac:dyDescent="0.3">
      <c r="A258" s="1"/>
      <c r="B258" s="181"/>
      <c r="C258" s="181"/>
      <c r="D258" s="181"/>
      <c r="E258" s="182"/>
      <c r="F258" s="182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81"/>
      <c r="AJ258" s="181"/>
      <c r="AK258" s="181"/>
      <c r="AL258" s="181"/>
      <c r="AM258" s="181"/>
      <c r="AN258" s="181"/>
      <c r="AO258" s="181"/>
      <c r="AP258" s="181"/>
      <c r="AQ258" s="181"/>
      <c r="AR258" s="181"/>
      <c r="AS258" s="181"/>
      <c r="AT258" s="181"/>
      <c r="AU258" s="181"/>
      <c r="AV258" s="181"/>
      <c r="AW258" s="181"/>
    </row>
    <row r="259" spans="1:49" ht="13.5" customHeight="1" x14ac:dyDescent="0.3">
      <c r="A259" s="1"/>
      <c r="B259" s="181"/>
      <c r="C259" s="181"/>
      <c r="D259" s="181"/>
      <c r="E259" s="182"/>
      <c r="F259" s="182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81"/>
      <c r="AJ259" s="181"/>
      <c r="AK259" s="181"/>
      <c r="AL259" s="181"/>
      <c r="AM259" s="181"/>
      <c r="AN259" s="181"/>
      <c r="AO259" s="181"/>
      <c r="AP259" s="181"/>
      <c r="AQ259" s="181"/>
      <c r="AR259" s="181"/>
      <c r="AS259" s="181"/>
      <c r="AT259" s="181"/>
      <c r="AU259" s="181"/>
      <c r="AV259" s="181"/>
      <c r="AW259" s="181"/>
    </row>
    <row r="260" spans="1:49" ht="13.5" customHeight="1" x14ac:dyDescent="0.3">
      <c r="A260" s="1"/>
      <c r="B260" s="181"/>
      <c r="C260" s="181"/>
      <c r="D260" s="181"/>
      <c r="E260" s="182"/>
      <c r="F260" s="182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81"/>
      <c r="AJ260" s="181"/>
      <c r="AK260" s="181"/>
      <c r="AL260" s="181"/>
      <c r="AM260" s="181"/>
      <c r="AN260" s="181"/>
      <c r="AO260" s="181"/>
      <c r="AP260" s="181"/>
      <c r="AQ260" s="181"/>
      <c r="AR260" s="181"/>
      <c r="AS260" s="181"/>
      <c r="AT260" s="181"/>
      <c r="AU260" s="181"/>
      <c r="AV260" s="181"/>
      <c r="AW260" s="181"/>
    </row>
    <row r="261" spans="1:49" ht="13.5" customHeight="1" x14ac:dyDescent="0.3">
      <c r="A261" s="1"/>
      <c r="B261" s="181"/>
      <c r="C261" s="181"/>
      <c r="D261" s="181"/>
      <c r="E261" s="182"/>
      <c r="F261" s="182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81"/>
      <c r="AJ261" s="181"/>
      <c r="AK261" s="181"/>
      <c r="AL261" s="181"/>
      <c r="AM261" s="181"/>
      <c r="AN261" s="181"/>
      <c r="AO261" s="181"/>
      <c r="AP261" s="181"/>
      <c r="AQ261" s="181"/>
      <c r="AR261" s="181"/>
      <c r="AS261" s="181"/>
      <c r="AT261" s="181"/>
      <c r="AU261" s="181"/>
      <c r="AV261" s="181"/>
      <c r="AW261" s="181"/>
    </row>
    <row r="262" spans="1:49" ht="13.5" customHeight="1" x14ac:dyDescent="0.3">
      <c r="A262" s="1"/>
      <c r="B262" s="181"/>
      <c r="C262" s="181"/>
      <c r="D262" s="181"/>
      <c r="E262" s="182"/>
      <c r="F262" s="182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81"/>
      <c r="AJ262" s="181"/>
      <c r="AK262" s="181"/>
      <c r="AL262" s="181"/>
      <c r="AM262" s="181"/>
      <c r="AN262" s="181"/>
      <c r="AO262" s="181"/>
      <c r="AP262" s="181"/>
      <c r="AQ262" s="181"/>
      <c r="AR262" s="181"/>
      <c r="AS262" s="181"/>
      <c r="AT262" s="181"/>
      <c r="AU262" s="181"/>
      <c r="AV262" s="181"/>
      <c r="AW262" s="181"/>
    </row>
    <row r="263" spans="1:49" ht="13.5" customHeight="1" x14ac:dyDescent="0.3">
      <c r="A263" s="1"/>
      <c r="B263" s="181"/>
      <c r="C263" s="181"/>
      <c r="D263" s="181"/>
      <c r="E263" s="182"/>
      <c r="F263" s="182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81"/>
      <c r="AJ263" s="181"/>
      <c r="AK263" s="181"/>
      <c r="AL263" s="181"/>
      <c r="AM263" s="181"/>
      <c r="AN263" s="181"/>
      <c r="AO263" s="181"/>
      <c r="AP263" s="181"/>
      <c r="AQ263" s="181"/>
      <c r="AR263" s="181"/>
      <c r="AS263" s="181"/>
      <c r="AT263" s="181"/>
      <c r="AU263" s="181"/>
      <c r="AV263" s="181"/>
      <c r="AW263" s="181"/>
    </row>
    <row r="264" spans="1:49" ht="13.5" customHeight="1" x14ac:dyDescent="0.3">
      <c r="A264" s="1"/>
      <c r="B264" s="181"/>
      <c r="C264" s="181"/>
      <c r="D264" s="181"/>
      <c r="E264" s="182"/>
      <c r="F264" s="182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81"/>
      <c r="AJ264" s="181"/>
      <c r="AK264" s="181"/>
      <c r="AL264" s="181"/>
      <c r="AM264" s="181"/>
      <c r="AN264" s="181"/>
      <c r="AO264" s="181"/>
      <c r="AP264" s="181"/>
      <c r="AQ264" s="181"/>
      <c r="AR264" s="181"/>
      <c r="AS264" s="181"/>
      <c r="AT264" s="181"/>
      <c r="AU264" s="181"/>
      <c r="AV264" s="181"/>
      <c r="AW264" s="181"/>
    </row>
    <row r="265" spans="1:49" ht="13.5" customHeight="1" x14ac:dyDescent="0.3">
      <c r="A265" s="1"/>
      <c r="B265" s="181"/>
      <c r="C265" s="181"/>
      <c r="D265" s="181"/>
      <c r="E265" s="182"/>
      <c r="F265" s="182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81"/>
      <c r="AJ265" s="181"/>
      <c r="AK265" s="181"/>
      <c r="AL265" s="181"/>
      <c r="AM265" s="181"/>
      <c r="AN265" s="181"/>
      <c r="AO265" s="181"/>
      <c r="AP265" s="181"/>
      <c r="AQ265" s="181"/>
      <c r="AR265" s="181"/>
      <c r="AS265" s="181"/>
      <c r="AT265" s="181"/>
      <c r="AU265" s="181"/>
      <c r="AV265" s="181"/>
      <c r="AW265" s="181"/>
    </row>
    <row r="266" spans="1:49" ht="13.5" customHeight="1" x14ac:dyDescent="0.3">
      <c r="A266" s="1"/>
      <c r="B266" s="181"/>
      <c r="C266" s="181"/>
      <c r="D266" s="181"/>
      <c r="E266" s="182"/>
      <c r="F266" s="182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81"/>
      <c r="AJ266" s="181"/>
      <c r="AK266" s="181"/>
      <c r="AL266" s="181"/>
      <c r="AM266" s="181"/>
      <c r="AN266" s="181"/>
      <c r="AO266" s="181"/>
      <c r="AP266" s="181"/>
      <c r="AQ266" s="181"/>
      <c r="AR266" s="181"/>
      <c r="AS266" s="181"/>
      <c r="AT266" s="181"/>
      <c r="AU266" s="181"/>
      <c r="AV266" s="181"/>
      <c r="AW266" s="181"/>
    </row>
    <row r="267" spans="1:49" ht="13.5" customHeight="1" x14ac:dyDescent="0.3">
      <c r="A267" s="1"/>
      <c r="B267" s="181"/>
      <c r="C267" s="181"/>
      <c r="D267" s="181"/>
      <c r="E267" s="182"/>
      <c r="F267" s="182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81"/>
      <c r="AJ267" s="181"/>
      <c r="AK267" s="181"/>
      <c r="AL267" s="181"/>
      <c r="AM267" s="181"/>
      <c r="AN267" s="181"/>
      <c r="AO267" s="181"/>
      <c r="AP267" s="181"/>
      <c r="AQ267" s="181"/>
      <c r="AR267" s="181"/>
      <c r="AS267" s="181"/>
      <c r="AT267" s="181"/>
      <c r="AU267" s="181"/>
      <c r="AV267" s="181"/>
      <c r="AW267" s="181"/>
    </row>
    <row r="268" spans="1:49" ht="13.5" customHeight="1" x14ac:dyDescent="0.3">
      <c r="A268" s="1"/>
      <c r="B268" s="181"/>
      <c r="C268" s="181"/>
      <c r="D268" s="181"/>
      <c r="E268" s="182"/>
      <c r="F268" s="182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81"/>
      <c r="AJ268" s="181"/>
      <c r="AK268" s="181"/>
      <c r="AL268" s="181"/>
      <c r="AM268" s="181"/>
      <c r="AN268" s="181"/>
      <c r="AO268" s="181"/>
      <c r="AP268" s="181"/>
      <c r="AQ268" s="181"/>
      <c r="AR268" s="181"/>
      <c r="AS268" s="181"/>
      <c r="AT268" s="181"/>
      <c r="AU268" s="181"/>
      <c r="AV268" s="181"/>
      <c r="AW268" s="181"/>
    </row>
    <row r="269" spans="1:49" ht="13.5" customHeight="1" x14ac:dyDescent="0.3">
      <c r="A269" s="1"/>
      <c r="B269" s="181"/>
      <c r="C269" s="181"/>
      <c r="D269" s="181"/>
      <c r="E269" s="182"/>
      <c r="F269" s="182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81"/>
      <c r="AJ269" s="181"/>
      <c r="AK269" s="181"/>
      <c r="AL269" s="181"/>
      <c r="AM269" s="181"/>
      <c r="AN269" s="181"/>
      <c r="AO269" s="181"/>
      <c r="AP269" s="181"/>
      <c r="AQ269" s="181"/>
      <c r="AR269" s="181"/>
      <c r="AS269" s="181"/>
      <c r="AT269" s="181"/>
      <c r="AU269" s="181"/>
      <c r="AV269" s="181"/>
      <c r="AW269" s="181"/>
    </row>
    <row r="270" spans="1:49" ht="13.5" customHeight="1" x14ac:dyDescent="0.3">
      <c r="A270" s="1"/>
      <c r="B270" s="181"/>
      <c r="C270" s="181"/>
      <c r="D270" s="181"/>
      <c r="E270" s="182"/>
      <c r="F270" s="182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81"/>
      <c r="AJ270" s="181"/>
      <c r="AK270" s="181"/>
      <c r="AL270" s="181"/>
      <c r="AM270" s="181"/>
      <c r="AN270" s="181"/>
      <c r="AO270" s="181"/>
      <c r="AP270" s="181"/>
      <c r="AQ270" s="181"/>
      <c r="AR270" s="181"/>
      <c r="AS270" s="181"/>
      <c r="AT270" s="181"/>
      <c r="AU270" s="181"/>
      <c r="AV270" s="181"/>
      <c r="AW270" s="181"/>
    </row>
    <row r="271" spans="1:49" ht="13.5" customHeight="1" x14ac:dyDescent="0.3">
      <c r="A271" s="1"/>
      <c r="B271" s="181"/>
      <c r="C271" s="181"/>
      <c r="D271" s="181"/>
      <c r="E271" s="182"/>
      <c r="F271" s="182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81"/>
      <c r="AJ271" s="181"/>
      <c r="AK271" s="181"/>
      <c r="AL271" s="181"/>
      <c r="AM271" s="181"/>
      <c r="AN271" s="181"/>
      <c r="AO271" s="181"/>
      <c r="AP271" s="181"/>
      <c r="AQ271" s="181"/>
      <c r="AR271" s="181"/>
      <c r="AS271" s="181"/>
      <c r="AT271" s="181"/>
      <c r="AU271" s="181"/>
      <c r="AV271" s="181"/>
      <c r="AW271" s="181"/>
    </row>
    <row r="272" spans="1:49" ht="13.5" customHeight="1" x14ac:dyDescent="0.3">
      <c r="A272" s="1"/>
      <c r="B272" s="181"/>
      <c r="C272" s="181"/>
      <c r="D272" s="181"/>
      <c r="E272" s="182"/>
      <c r="F272" s="182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81"/>
      <c r="AJ272" s="181"/>
      <c r="AK272" s="181"/>
      <c r="AL272" s="181"/>
      <c r="AM272" s="181"/>
      <c r="AN272" s="181"/>
      <c r="AO272" s="181"/>
      <c r="AP272" s="181"/>
      <c r="AQ272" s="181"/>
      <c r="AR272" s="181"/>
      <c r="AS272" s="181"/>
      <c r="AT272" s="181"/>
      <c r="AU272" s="181"/>
      <c r="AV272" s="181"/>
      <c r="AW272" s="181"/>
    </row>
    <row r="273" spans="1:49" ht="13.5" customHeight="1" x14ac:dyDescent="0.3">
      <c r="A273" s="1"/>
      <c r="B273" s="181"/>
      <c r="C273" s="181"/>
      <c r="D273" s="181"/>
      <c r="E273" s="182"/>
      <c r="F273" s="182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81"/>
      <c r="AI273" s="181"/>
      <c r="AJ273" s="181"/>
      <c r="AK273" s="181"/>
      <c r="AL273" s="181"/>
      <c r="AM273" s="181"/>
      <c r="AN273" s="181"/>
      <c r="AO273" s="181"/>
      <c r="AP273" s="181"/>
      <c r="AQ273" s="181"/>
      <c r="AR273" s="181"/>
      <c r="AS273" s="181"/>
      <c r="AT273" s="181"/>
      <c r="AU273" s="181"/>
      <c r="AV273" s="181"/>
      <c r="AW273" s="181"/>
    </row>
    <row r="274" spans="1:49" ht="13.5" customHeight="1" x14ac:dyDescent="0.3">
      <c r="A274" s="1"/>
      <c r="B274" s="181"/>
      <c r="C274" s="181"/>
      <c r="D274" s="181"/>
      <c r="E274" s="182"/>
      <c r="F274" s="182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  <c r="AC274" s="181"/>
      <c r="AD274" s="181"/>
      <c r="AE274" s="181"/>
      <c r="AF274" s="181"/>
      <c r="AG274" s="181"/>
      <c r="AH274" s="181"/>
      <c r="AI274" s="181"/>
      <c r="AJ274" s="181"/>
      <c r="AK274" s="181"/>
      <c r="AL274" s="181"/>
      <c r="AM274" s="181"/>
      <c r="AN274" s="181"/>
      <c r="AO274" s="181"/>
      <c r="AP274" s="181"/>
      <c r="AQ274" s="181"/>
      <c r="AR274" s="181"/>
      <c r="AS274" s="181"/>
      <c r="AT274" s="181"/>
      <c r="AU274" s="181"/>
      <c r="AV274" s="181"/>
      <c r="AW274" s="181"/>
    </row>
    <row r="275" spans="1:49" ht="13.5" customHeight="1" x14ac:dyDescent="0.3">
      <c r="A275" s="1"/>
      <c r="B275" s="181"/>
      <c r="C275" s="181"/>
      <c r="D275" s="181"/>
      <c r="E275" s="182"/>
      <c r="F275" s="182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  <c r="AC275" s="181"/>
      <c r="AD275" s="181"/>
      <c r="AE275" s="181"/>
      <c r="AF275" s="181"/>
      <c r="AG275" s="181"/>
      <c r="AH275" s="181"/>
      <c r="AI275" s="181"/>
      <c r="AJ275" s="181"/>
      <c r="AK275" s="181"/>
      <c r="AL275" s="181"/>
      <c r="AM275" s="181"/>
      <c r="AN275" s="181"/>
      <c r="AO275" s="181"/>
      <c r="AP275" s="181"/>
      <c r="AQ275" s="181"/>
      <c r="AR275" s="181"/>
      <c r="AS275" s="181"/>
      <c r="AT275" s="181"/>
      <c r="AU275" s="181"/>
      <c r="AV275" s="181"/>
      <c r="AW275" s="181"/>
    </row>
    <row r="276" spans="1:49" ht="13.5" customHeight="1" x14ac:dyDescent="0.3">
      <c r="A276" s="1"/>
      <c r="B276" s="181"/>
      <c r="C276" s="181"/>
      <c r="D276" s="181"/>
      <c r="E276" s="182"/>
      <c r="F276" s="182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  <c r="AC276" s="181"/>
      <c r="AD276" s="181"/>
      <c r="AE276" s="181"/>
      <c r="AF276" s="181"/>
      <c r="AG276" s="181"/>
      <c r="AH276" s="181"/>
      <c r="AI276" s="181"/>
      <c r="AJ276" s="181"/>
      <c r="AK276" s="181"/>
      <c r="AL276" s="181"/>
      <c r="AM276" s="181"/>
      <c r="AN276" s="181"/>
      <c r="AO276" s="181"/>
      <c r="AP276" s="181"/>
      <c r="AQ276" s="181"/>
      <c r="AR276" s="181"/>
      <c r="AS276" s="181"/>
      <c r="AT276" s="181"/>
      <c r="AU276" s="181"/>
      <c r="AV276" s="181"/>
      <c r="AW276" s="181"/>
    </row>
    <row r="277" spans="1:49" ht="13.5" customHeight="1" x14ac:dyDescent="0.3">
      <c r="A277" s="1"/>
      <c r="B277" s="181"/>
      <c r="C277" s="181"/>
      <c r="D277" s="181"/>
      <c r="E277" s="182"/>
      <c r="F277" s="182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  <c r="AC277" s="181"/>
      <c r="AD277" s="181"/>
      <c r="AE277" s="181"/>
      <c r="AF277" s="181"/>
      <c r="AG277" s="181"/>
      <c r="AH277" s="181"/>
      <c r="AI277" s="181"/>
      <c r="AJ277" s="181"/>
      <c r="AK277" s="181"/>
      <c r="AL277" s="181"/>
      <c r="AM277" s="181"/>
      <c r="AN277" s="181"/>
      <c r="AO277" s="181"/>
      <c r="AP277" s="181"/>
      <c r="AQ277" s="181"/>
      <c r="AR277" s="181"/>
      <c r="AS277" s="181"/>
      <c r="AT277" s="181"/>
      <c r="AU277" s="181"/>
      <c r="AV277" s="181"/>
      <c r="AW277" s="181"/>
    </row>
    <row r="278" spans="1:49" ht="13.5" customHeight="1" x14ac:dyDescent="0.3">
      <c r="A278" s="1"/>
      <c r="B278" s="181"/>
      <c r="C278" s="181"/>
      <c r="D278" s="181"/>
      <c r="E278" s="182"/>
      <c r="F278" s="182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  <c r="AC278" s="181"/>
      <c r="AD278" s="181"/>
      <c r="AE278" s="181"/>
      <c r="AF278" s="181"/>
      <c r="AG278" s="181"/>
      <c r="AH278" s="181"/>
      <c r="AI278" s="181"/>
      <c r="AJ278" s="181"/>
      <c r="AK278" s="181"/>
      <c r="AL278" s="181"/>
      <c r="AM278" s="181"/>
      <c r="AN278" s="181"/>
      <c r="AO278" s="181"/>
      <c r="AP278" s="181"/>
      <c r="AQ278" s="181"/>
      <c r="AR278" s="181"/>
      <c r="AS278" s="181"/>
      <c r="AT278" s="181"/>
      <c r="AU278" s="181"/>
      <c r="AV278" s="181"/>
      <c r="AW278" s="181"/>
    </row>
    <row r="279" spans="1:49" ht="13.5" customHeight="1" x14ac:dyDescent="0.3">
      <c r="A279" s="1"/>
      <c r="B279" s="181"/>
      <c r="C279" s="181"/>
      <c r="D279" s="181"/>
      <c r="E279" s="182"/>
      <c r="F279" s="182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  <c r="AC279" s="181"/>
      <c r="AD279" s="181"/>
      <c r="AE279" s="181"/>
      <c r="AF279" s="181"/>
      <c r="AG279" s="181"/>
      <c r="AH279" s="181"/>
      <c r="AI279" s="181"/>
      <c r="AJ279" s="181"/>
      <c r="AK279" s="181"/>
      <c r="AL279" s="181"/>
      <c r="AM279" s="181"/>
      <c r="AN279" s="181"/>
      <c r="AO279" s="181"/>
      <c r="AP279" s="181"/>
      <c r="AQ279" s="181"/>
      <c r="AR279" s="181"/>
      <c r="AS279" s="181"/>
      <c r="AT279" s="181"/>
      <c r="AU279" s="181"/>
      <c r="AV279" s="181"/>
      <c r="AW279" s="181"/>
    </row>
    <row r="280" spans="1:49" ht="13.5" customHeight="1" x14ac:dyDescent="0.3">
      <c r="A280" s="1"/>
      <c r="B280" s="181"/>
      <c r="C280" s="181"/>
      <c r="D280" s="181"/>
      <c r="E280" s="182"/>
      <c r="F280" s="182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  <c r="AC280" s="181"/>
      <c r="AD280" s="181"/>
      <c r="AE280" s="181"/>
      <c r="AF280" s="181"/>
      <c r="AG280" s="181"/>
      <c r="AH280" s="181"/>
      <c r="AI280" s="181"/>
      <c r="AJ280" s="181"/>
      <c r="AK280" s="181"/>
      <c r="AL280" s="181"/>
      <c r="AM280" s="181"/>
      <c r="AN280" s="181"/>
      <c r="AO280" s="181"/>
      <c r="AP280" s="181"/>
      <c r="AQ280" s="181"/>
      <c r="AR280" s="181"/>
      <c r="AS280" s="181"/>
      <c r="AT280" s="181"/>
      <c r="AU280" s="181"/>
      <c r="AV280" s="181"/>
      <c r="AW280" s="181"/>
    </row>
    <row r="281" spans="1:49" ht="13.5" customHeight="1" x14ac:dyDescent="0.3">
      <c r="A281" s="1"/>
      <c r="B281" s="181"/>
      <c r="C281" s="181"/>
      <c r="D281" s="181"/>
      <c r="E281" s="182"/>
      <c r="F281" s="182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81"/>
      <c r="AJ281" s="181"/>
      <c r="AK281" s="181"/>
      <c r="AL281" s="181"/>
      <c r="AM281" s="181"/>
      <c r="AN281" s="181"/>
      <c r="AO281" s="181"/>
      <c r="AP281" s="181"/>
      <c r="AQ281" s="181"/>
      <c r="AR281" s="181"/>
      <c r="AS281" s="181"/>
      <c r="AT281" s="181"/>
      <c r="AU281" s="181"/>
      <c r="AV281" s="181"/>
      <c r="AW281" s="181"/>
    </row>
    <row r="282" spans="1:49" ht="13.5" customHeight="1" x14ac:dyDescent="0.3">
      <c r="A282" s="1"/>
      <c r="B282" s="181"/>
      <c r="C282" s="181"/>
      <c r="D282" s="181"/>
      <c r="E282" s="182"/>
      <c r="F282" s="182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81"/>
      <c r="AJ282" s="181"/>
      <c r="AK282" s="181"/>
      <c r="AL282" s="181"/>
      <c r="AM282" s="181"/>
      <c r="AN282" s="181"/>
      <c r="AO282" s="181"/>
      <c r="AP282" s="181"/>
      <c r="AQ282" s="181"/>
      <c r="AR282" s="181"/>
      <c r="AS282" s="181"/>
      <c r="AT282" s="181"/>
      <c r="AU282" s="181"/>
      <c r="AV282" s="181"/>
      <c r="AW282" s="181"/>
    </row>
    <row r="283" spans="1:49" ht="13.5" customHeight="1" x14ac:dyDescent="0.3">
      <c r="A283" s="1"/>
      <c r="B283" s="181"/>
      <c r="C283" s="181"/>
      <c r="D283" s="181"/>
      <c r="E283" s="182"/>
      <c r="F283" s="182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81"/>
      <c r="AJ283" s="181"/>
      <c r="AK283" s="181"/>
      <c r="AL283" s="181"/>
      <c r="AM283" s="181"/>
      <c r="AN283" s="181"/>
      <c r="AO283" s="181"/>
      <c r="AP283" s="181"/>
      <c r="AQ283" s="181"/>
      <c r="AR283" s="181"/>
      <c r="AS283" s="181"/>
      <c r="AT283" s="181"/>
      <c r="AU283" s="181"/>
      <c r="AV283" s="181"/>
      <c r="AW283" s="181"/>
    </row>
    <row r="284" spans="1:49" ht="13.5" customHeight="1" x14ac:dyDescent="0.3">
      <c r="A284" s="1"/>
      <c r="B284" s="181"/>
      <c r="C284" s="181"/>
      <c r="D284" s="181"/>
      <c r="E284" s="182"/>
      <c r="F284" s="182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81"/>
      <c r="AJ284" s="181"/>
      <c r="AK284" s="181"/>
      <c r="AL284" s="181"/>
      <c r="AM284" s="181"/>
      <c r="AN284" s="181"/>
      <c r="AO284" s="181"/>
      <c r="AP284" s="181"/>
      <c r="AQ284" s="181"/>
      <c r="AR284" s="181"/>
      <c r="AS284" s="181"/>
      <c r="AT284" s="181"/>
      <c r="AU284" s="181"/>
      <c r="AV284" s="181"/>
      <c r="AW284" s="181"/>
    </row>
    <row r="285" spans="1:49" ht="13.5" customHeight="1" x14ac:dyDescent="0.3">
      <c r="A285" s="1"/>
      <c r="B285" s="181"/>
      <c r="C285" s="181"/>
      <c r="D285" s="181"/>
      <c r="E285" s="182"/>
      <c r="F285" s="182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81"/>
      <c r="AJ285" s="181"/>
      <c r="AK285" s="181"/>
      <c r="AL285" s="181"/>
      <c r="AM285" s="181"/>
      <c r="AN285" s="181"/>
      <c r="AO285" s="181"/>
      <c r="AP285" s="181"/>
      <c r="AQ285" s="181"/>
      <c r="AR285" s="181"/>
      <c r="AS285" s="181"/>
      <c r="AT285" s="181"/>
      <c r="AU285" s="181"/>
      <c r="AV285" s="181"/>
      <c r="AW285" s="181"/>
    </row>
    <row r="286" spans="1:49" ht="13.5" customHeight="1" x14ac:dyDescent="0.3">
      <c r="A286" s="1"/>
      <c r="B286" s="181"/>
      <c r="C286" s="181"/>
      <c r="D286" s="181"/>
      <c r="E286" s="182"/>
      <c r="F286" s="182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81"/>
      <c r="AJ286" s="181"/>
      <c r="AK286" s="181"/>
      <c r="AL286" s="181"/>
      <c r="AM286" s="181"/>
      <c r="AN286" s="181"/>
      <c r="AO286" s="181"/>
      <c r="AP286" s="181"/>
      <c r="AQ286" s="181"/>
      <c r="AR286" s="181"/>
      <c r="AS286" s="181"/>
      <c r="AT286" s="181"/>
      <c r="AU286" s="181"/>
      <c r="AV286" s="181"/>
      <c r="AW286" s="181"/>
    </row>
    <row r="287" spans="1:49" ht="13.5" customHeight="1" x14ac:dyDescent="0.3">
      <c r="A287" s="1"/>
      <c r="B287" s="181"/>
      <c r="C287" s="181"/>
      <c r="D287" s="181"/>
      <c r="E287" s="182"/>
      <c r="F287" s="182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81"/>
      <c r="AJ287" s="181"/>
      <c r="AK287" s="181"/>
      <c r="AL287" s="181"/>
      <c r="AM287" s="181"/>
      <c r="AN287" s="181"/>
      <c r="AO287" s="181"/>
      <c r="AP287" s="181"/>
      <c r="AQ287" s="181"/>
      <c r="AR287" s="181"/>
      <c r="AS287" s="181"/>
      <c r="AT287" s="181"/>
      <c r="AU287" s="181"/>
      <c r="AV287" s="181"/>
      <c r="AW287" s="181"/>
    </row>
    <row r="288" spans="1:49" ht="13.5" customHeight="1" x14ac:dyDescent="0.3">
      <c r="A288" s="1"/>
      <c r="B288" s="181"/>
      <c r="C288" s="181"/>
      <c r="D288" s="181"/>
      <c r="E288" s="182"/>
      <c r="F288" s="182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81"/>
      <c r="AJ288" s="181"/>
      <c r="AK288" s="181"/>
      <c r="AL288" s="181"/>
      <c r="AM288" s="181"/>
      <c r="AN288" s="181"/>
      <c r="AO288" s="181"/>
      <c r="AP288" s="181"/>
      <c r="AQ288" s="181"/>
      <c r="AR288" s="181"/>
      <c r="AS288" s="181"/>
      <c r="AT288" s="181"/>
      <c r="AU288" s="181"/>
      <c r="AV288" s="181"/>
      <c r="AW288" s="181"/>
    </row>
    <row r="289" spans="1:49" ht="13.5" customHeight="1" x14ac:dyDescent="0.3">
      <c r="A289" s="1"/>
      <c r="B289" s="181"/>
      <c r="C289" s="181"/>
      <c r="D289" s="181"/>
      <c r="E289" s="182"/>
      <c r="F289" s="182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81"/>
      <c r="AJ289" s="181"/>
      <c r="AK289" s="181"/>
      <c r="AL289" s="181"/>
      <c r="AM289" s="181"/>
      <c r="AN289" s="181"/>
      <c r="AO289" s="181"/>
      <c r="AP289" s="181"/>
      <c r="AQ289" s="181"/>
      <c r="AR289" s="181"/>
      <c r="AS289" s="181"/>
      <c r="AT289" s="181"/>
      <c r="AU289" s="181"/>
      <c r="AV289" s="181"/>
      <c r="AW289" s="181"/>
    </row>
    <row r="290" spans="1:49" ht="13.5" customHeight="1" x14ac:dyDescent="0.3">
      <c r="A290" s="1"/>
      <c r="B290" s="181"/>
      <c r="C290" s="181"/>
      <c r="D290" s="181"/>
      <c r="E290" s="182"/>
      <c r="F290" s="182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81"/>
      <c r="AJ290" s="181"/>
      <c r="AK290" s="181"/>
      <c r="AL290" s="181"/>
      <c r="AM290" s="181"/>
      <c r="AN290" s="181"/>
      <c r="AO290" s="181"/>
      <c r="AP290" s="181"/>
      <c r="AQ290" s="181"/>
      <c r="AR290" s="181"/>
      <c r="AS290" s="181"/>
      <c r="AT290" s="181"/>
      <c r="AU290" s="181"/>
      <c r="AV290" s="181"/>
      <c r="AW290" s="181"/>
    </row>
    <row r="291" spans="1:49" ht="13.5" customHeight="1" x14ac:dyDescent="0.3">
      <c r="A291" s="1"/>
      <c r="B291" s="181"/>
      <c r="C291" s="181"/>
      <c r="D291" s="181"/>
      <c r="E291" s="182"/>
      <c r="F291" s="182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81"/>
      <c r="AJ291" s="181"/>
      <c r="AK291" s="181"/>
      <c r="AL291" s="181"/>
      <c r="AM291" s="181"/>
      <c r="AN291" s="181"/>
      <c r="AO291" s="181"/>
      <c r="AP291" s="181"/>
      <c r="AQ291" s="181"/>
      <c r="AR291" s="181"/>
      <c r="AS291" s="181"/>
      <c r="AT291" s="181"/>
      <c r="AU291" s="181"/>
      <c r="AV291" s="181"/>
      <c r="AW291" s="181"/>
    </row>
    <row r="292" spans="1:49" ht="13.5" customHeight="1" x14ac:dyDescent="0.3">
      <c r="A292" s="1"/>
      <c r="B292" s="181"/>
      <c r="C292" s="181"/>
      <c r="D292" s="181"/>
      <c r="E292" s="182"/>
      <c r="F292" s="182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81"/>
      <c r="AJ292" s="181"/>
      <c r="AK292" s="181"/>
      <c r="AL292" s="181"/>
      <c r="AM292" s="181"/>
      <c r="AN292" s="181"/>
      <c r="AO292" s="181"/>
      <c r="AP292" s="181"/>
      <c r="AQ292" s="181"/>
      <c r="AR292" s="181"/>
      <c r="AS292" s="181"/>
      <c r="AT292" s="181"/>
      <c r="AU292" s="181"/>
      <c r="AV292" s="181"/>
      <c r="AW292" s="181"/>
    </row>
    <row r="293" spans="1:49" ht="13.5" customHeight="1" x14ac:dyDescent="0.3">
      <c r="A293" s="1"/>
      <c r="B293" s="181"/>
      <c r="C293" s="181"/>
      <c r="D293" s="181"/>
      <c r="E293" s="182"/>
      <c r="F293" s="182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81"/>
      <c r="AJ293" s="181"/>
      <c r="AK293" s="181"/>
      <c r="AL293" s="181"/>
      <c r="AM293" s="181"/>
      <c r="AN293" s="181"/>
      <c r="AO293" s="181"/>
      <c r="AP293" s="181"/>
      <c r="AQ293" s="181"/>
      <c r="AR293" s="181"/>
      <c r="AS293" s="181"/>
      <c r="AT293" s="181"/>
      <c r="AU293" s="181"/>
      <c r="AV293" s="181"/>
      <c r="AW293" s="181"/>
    </row>
    <row r="294" spans="1:49" ht="13.5" customHeight="1" x14ac:dyDescent="0.3">
      <c r="A294" s="1"/>
      <c r="B294" s="181"/>
      <c r="C294" s="181"/>
      <c r="D294" s="181"/>
      <c r="E294" s="182"/>
      <c r="F294" s="182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81"/>
      <c r="AJ294" s="181"/>
      <c r="AK294" s="181"/>
      <c r="AL294" s="181"/>
      <c r="AM294" s="181"/>
      <c r="AN294" s="181"/>
      <c r="AO294" s="181"/>
      <c r="AP294" s="181"/>
      <c r="AQ294" s="181"/>
      <c r="AR294" s="181"/>
      <c r="AS294" s="181"/>
      <c r="AT294" s="181"/>
      <c r="AU294" s="181"/>
      <c r="AV294" s="181"/>
      <c r="AW294" s="181"/>
    </row>
    <row r="295" spans="1:49" ht="13.5" customHeight="1" x14ac:dyDescent="0.3">
      <c r="A295" s="1"/>
      <c r="B295" s="181"/>
      <c r="C295" s="181"/>
      <c r="D295" s="181"/>
      <c r="E295" s="182"/>
      <c r="F295" s="182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81"/>
      <c r="AJ295" s="181"/>
      <c r="AK295" s="181"/>
      <c r="AL295" s="181"/>
      <c r="AM295" s="181"/>
      <c r="AN295" s="181"/>
      <c r="AO295" s="181"/>
      <c r="AP295" s="181"/>
      <c r="AQ295" s="181"/>
      <c r="AR295" s="181"/>
      <c r="AS295" s="181"/>
      <c r="AT295" s="181"/>
      <c r="AU295" s="181"/>
      <c r="AV295" s="181"/>
      <c r="AW295" s="181"/>
    </row>
    <row r="296" spans="1:49" ht="13.5" customHeight="1" x14ac:dyDescent="0.3">
      <c r="A296" s="1"/>
      <c r="B296" s="181"/>
      <c r="C296" s="181"/>
      <c r="D296" s="181"/>
      <c r="E296" s="182"/>
      <c r="F296" s="182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81"/>
      <c r="AI296" s="181"/>
      <c r="AJ296" s="181"/>
      <c r="AK296" s="181"/>
      <c r="AL296" s="181"/>
      <c r="AM296" s="181"/>
      <c r="AN296" s="181"/>
      <c r="AO296" s="181"/>
      <c r="AP296" s="181"/>
      <c r="AQ296" s="181"/>
      <c r="AR296" s="181"/>
      <c r="AS296" s="181"/>
      <c r="AT296" s="181"/>
      <c r="AU296" s="181"/>
      <c r="AV296" s="181"/>
      <c r="AW296" s="181"/>
    </row>
    <row r="297" spans="1:49" ht="13.5" customHeight="1" x14ac:dyDescent="0.3">
      <c r="A297" s="1"/>
      <c r="B297" s="181"/>
      <c r="C297" s="181"/>
      <c r="D297" s="181"/>
      <c r="E297" s="182"/>
      <c r="F297" s="182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  <c r="AC297" s="181"/>
      <c r="AD297" s="181"/>
      <c r="AE297" s="181"/>
      <c r="AF297" s="181"/>
      <c r="AG297" s="181"/>
      <c r="AH297" s="181"/>
      <c r="AI297" s="181"/>
      <c r="AJ297" s="181"/>
      <c r="AK297" s="181"/>
      <c r="AL297" s="181"/>
      <c r="AM297" s="181"/>
      <c r="AN297" s="181"/>
      <c r="AO297" s="181"/>
      <c r="AP297" s="181"/>
      <c r="AQ297" s="181"/>
      <c r="AR297" s="181"/>
      <c r="AS297" s="181"/>
      <c r="AT297" s="181"/>
      <c r="AU297" s="181"/>
      <c r="AV297" s="181"/>
      <c r="AW297" s="181"/>
    </row>
    <row r="298" spans="1:49" ht="13.5" customHeight="1" x14ac:dyDescent="0.3">
      <c r="A298" s="1"/>
      <c r="B298" s="181"/>
      <c r="C298" s="181"/>
      <c r="D298" s="181"/>
      <c r="E298" s="182"/>
      <c r="F298" s="182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  <c r="AC298" s="181"/>
      <c r="AD298" s="181"/>
      <c r="AE298" s="181"/>
      <c r="AF298" s="181"/>
      <c r="AG298" s="181"/>
      <c r="AH298" s="181"/>
      <c r="AI298" s="181"/>
      <c r="AJ298" s="181"/>
      <c r="AK298" s="181"/>
      <c r="AL298" s="181"/>
      <c r="AM298" s="181"/>
      <c r="AN298" s="181"/>
      <c r="AO298" s="181"/>
      <c r="AP298" s="181"/>
      <c r="AQ298" s="181"/>
      <c r="AR298" s="181"/>
      <c r="AS298" s="181"/>
      <c r="AT298" s="181"/>
      <c r="AU298" s="181"/>
      <c r="AV298" s="181"/>
      <c r="AW298" s="181"/>
    </row>
    <row r="299" spans="1:49" ht="13.5" customHeight="1" x14ac:dyDescent="0.3">
      <c r="A299" s="1"/>
      <c r="B299" s="181"/>
      <c r="C299" s="181"/>
      <c r="D299" s="181"/>
      <c r="E299" s="182"/>
      <c r="F299" s="182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  <c r="AC299" s="181"/>
      <c r="AD299" s="181"/>
      <c r="AE299" s="181"/>
      <c r="AF299" s="181"/>
      <c r="AG299" s="181"/>
      <c r="AH299" s="181"/>
      <c r="AI299" s="181"/>
      <c r="AJ299" s="181"/>
      <c r="AK299" s="181"/>
      <c r="AL299" s="181"/>
      <c r="AM299" s="181"/>
      <c r="AN299" s="181"/>
      <c r="AO299" s="181"/>
      <c r="AP299" s="181"/>
      <c r="AQ299" s="181"/>
      <c r="AR299" s="181"/>
      <c r="AS299" s="181"/>
      <c r="AT299" s="181"/>
      <c r="AU299" s="181"/>
      <c r="AV299" s="181"/>
      <c r="AW299" s="181"/>
    </row>
    <row r="300" spans="1:49" ht="13.5" customHeight="1" x14ac:dyDescent="0.3">
      <c r="A300" s="1"/>
      <c r="B300" s="181"/>
      <c r="C300" s="181"/>
      <c r="D300" s="181"/>
      <c r="E300" s="182"/>
      <c r="F300" s="182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  <c r="AC300" s="181"/>
      <c r="AD300" s="181"/>
      <c r="AE300" s="181"/>
      <c r="AF300" s="181"/>
      <c r="AG300" s="181"/>
      <c r="AH300" s="181"/>
      <c r="AI300" s="181"/>
      <c r="AJ300" s="181"/>
      <c r="AK300" s="181"/>
      <c r="AL300" s="181"/>
      <c r="AM300" s="181"/>
      <c r="AN300" s="181"/>
      <c r="AO300" s="181"/>
      <c r="AP300" s="181"/>
      <c r="AQ300" s="181"/>
      <c r="AR300" s="181"/>
      <c r="AS300" s="181"/>
      <c r="AT300" s="181"/>
      <c r="AU300" s="181"/>
      <c r="AV300" s="181"/>
      <c r="AW300" s="181"/>
    </row>
    <row r="301" spans="1:49" ht="13.5" customHeight="1" x14ac:dyDescent="0.3">
      <c r="A301" s="1"/>
      <c r="B301" s="181"/>
      <c r="C301" s="181"/>
      <c r="D301" s="181"/>
      <c r="E301" s="182"/>
      <c r="F301" s="182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  <c r="AC301" s="181"/>
      <c r="AD301" s="181"/>
      <c r="AE301" s="181"/>
      <c r="AF301" s="181"/>
      <c r="AG301" s="181"/>
      <c r="AH301" s="181"/>
      <c r="AI301" s="181"/>
      <c r="AJ301" s="181"/>
      <c r="AK301" s="181"/>
      <c r="AL301" s="181"/>
      <c r="AM301" s="181"/>
      <c r="AN301" s="181"/>
      <c r="AO301" s="181"/>
      <c r="AP301" s="181"/>
      <c r="AQ301" s="181"/>
      <c r="AR301" s="181"/>
      <c r="AS301" s="181"/>
      <c r="AT301" s="181"/>
      <c r="AU301" s="181"/>
      <c r="AV301" s="181"/>
      <c r="AW301" s="181"/>
    </row>
    <row r="302" spans="1:49" ht="13.5" customHeight="1" x14ac:dyDescent="0.3">
      <c r="A302" s="1"/>
      <c r="B302" s="181"/>
      <c r="C302" s="181"/>
      <c r="D302" s="181"/>
      <c r="E302" s="182"/>
      <c r="F302" s="182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  <c r="AC302" s="181"/>
      <c r="AD302" s="181"/>
      <c r="AE302" s="181"/>
      <c r="AF302" s="181"/>
      <c r="AG302" s="181"/>
      <c r="AH302" s="181"/>
      <c r="AI302" s="181"/>
      <c r="AJ302" s="181"/>
      <c r="AK302" s="181"/>
      <c r="AL302" s="181"/>
      <c r="AM302" s="181"/>
      <c r="AN302" s="181"/>
      <c r="AO302" s="181"/>
      <c r="AP302" s="181"/>
      <c r="AQ302" s="181"/>
      <c r="AR302" s="181"/>
      <c r="AS302" s="181"/>
      <c r="AT302" s="181"/>
      <c r="AU302" s="181"/>
      <c r="AV302" s="181"/>
      <c r="AW302" s="181"/>
    </row>
    <row r="303" spans="1:49" ht="13.5" customHeight="1" x14ac:dyDescent="0.3">
      <c r="A303" s="1"/>
      <c r="B303" s="181"/>
      <c r="C303" s="181"/>
      <c r="D303" s="181"/>
      <c r="E303" s="182"/>
      <c r="F303" s="182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  <c r="AC303" s="181"/>
      <c r="AD303" s="181"/>
      <c r="AE303" s="181"/>
      <c r="AF303" s="181"/>
      <c r="AG303" s="181"/>
      <c r="AH303" s="181"/>
      <c r="AI303" s="181"/>
      <c r="AJ303" s="181"/>
      <c r="AK303" s="181"/>
      <c r="AL303" s="181"/>
      <c r="AM303" s="181"/>
      <c r="AN303" s="181"/>
      <c r="AO303" s="181"/>
      <c r="AP303" s="181"/>
      <c r="AQ303" s="181"/>
      <c r="AR303" s="181"/>
      <c r="AS303" s="181"/>
      <c r="AT303" s="181"/>
      <c r="AU303" s="181"/>
      <c r="AV303" s="181"/>
      <c r="AW303" s="181"/>
    </row>
    <row r="304" spans="1:49" ht="13.5" customHeight="1" x14ac:dyDescent="0.3">
      <c r="A304" s="1"/>
      <c r="B304" s="181"/>
      <c r="C304" s="181"/>
      <c r="D304" s="181"/>
      <c r="E304" s="182"/>
      <c r="F304" s="182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81"/>
      <c r="AJ304" s="181"/>
      <c r="AK304" s="181"/>
      <c r="AL304" s="181"/>
      <c r="AM304" s="181"/>
      <c r="AN304" s="181"/>
      <c r="AO304" s="181"/>
      <c r="AP304" s="181"/>
      <c r="AQ304" s="181"/>
      <c r="AR304" s="181"/>
      <c r="AS304" s="181"/>
      <c r="AT304" s="181"/>
      <c r="AU304" s="181"/>
      <c r="AV304" s="181"/>
      <c r="AW304" s="181"/>
    </row>
    <row r="305" spans="1:49" ht="13.5" customHeight="1" x14ac:dyDescent="0.3">
      <c r="A305" s="1"/>
      <c r="B305" s="181"/>
      <c r="C305" s="181"/>
      <c r="D305" s="181"/>
      <c r="E305" s="182"/>
      <c r="F305" s="182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81"/>
      <c r="AJ305" s="181"/>
      <c r="AK305" s="181"/>
      <c r="AL305" s="181"/>
      <c r="AM305" s="181"/>
      <c r="AN305" s="181"/>
      <c r="AO305" s="181"/>
      <c r="AP305" s="181"/>
      <c r="AQ305" s="181"/>
      <c r="AR305" s="181"/>
      <c r="AS305" s="181"/>
      <c r="AT305" s="181"/>
      <c r="AU305" s="181"/>
      <c r="AV305" s="181"/>
      <c r="AW305" s="181"/>
    </row>
    <row r="306" spans="1:49" ht="13.5" customHeight="1" x14ac:dyDescent="0.3">
      <c r="A306" s="1"/>
      <c r="B306" s="181"/>
      <c r="C306" s="181"/>
      <c r="D306" s="181"/>
      <c r="E306" s="182"/>
      <c r="F306" s="182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81"/>
      <c r="AJ306" s="181"/>
      <c r="AK306" s="181"/>
      <c r="AL306" s="181"/>
      <c r="AM306" s="181"/>
      <c r="AN306" s="181"/>
      <c r="AO306" s="181"/>
      <c r="AP306" s="181"/>
      <c r="AQ306" s="181"/>
      <c r="AR306" s="181"/>
      <c r="AS306" s="181"/>
      <c r="AT306" s="181"/>
      <c r="AU306" s="181"/>
      <c r="AV306" s="181"/>
      <c r="AW306" s="181"/>
    </row>
    <row r="307" spans="1:49" ht="13.5" customHeight="1" x14ac:dyDescent="0.3">
      <c r="A307" s="1"/>
      <c r="B307" s="181"/>
      <c r="C307" s="181"/>
      <c r="D307" s="181"/>
      <c r="E307" s="182"/>
      <c r="F307" s="182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81"/>
      <c r="AJ307" s="181"/>
      <c r="AK307" s="181"/>
      <c r="AL307" s="181"/>
      <c r="AM307" s="181"/>
      <c r="AN307" s="181"/>
      <c r="AO307" s="181"/>
      <c r="AP307" s="181"/>
      <c r="AQ307" s="181"/>
      <c r="AR307" s="181"/>
      <c r="AS307" s="181"/>
      <c r="AT307" s="181"/>
      <c r="AU307" s="181"/>
      <c r="AV307" s="181"/>
      <c r="AW307" s="181"/>
    </row>
    <row r="308" spans="1:49" ht="13.5" customHeight="1" x14ac:dyDescent="0.3">
      <c r="A308" s="1"/>
      <c r="B308" s="181"/>
      <c r="C308" s="181"/>
      <c r="D308" s="181"/>
      <c r="E308" s="182"/>
      <c r="F308" s="182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81"/>
      <c r="AJ308" s="181"/>
      <c r="AK308" s="181"/>
      <c r="AL308" s="181"/>
      <c r="AM308" s="181"/>
      <c r="AN308" s="181"/>
      <c r="AO308" s="181"/>
      <c r="AP308" s="181"/>
      <c r="AQ308" s="181"/>
      <c r="AR308" s="181"/>
      <c r="AS308" s="181"/>
      <c r="AT308" s="181"/>
      <c r="AU308" s="181"/>
      <c r="AV308" s="181"/>
      <c r="AW308" s="181"/>
    </row>
    <row r="309" spans="1:49" ht="13.5" customHeight="1" x14ac:dyDescent="0.3">
      <c r="A309" s="1"/>
      <c r="B309" s="181"/>
      <c r="C309" s="181"/>
      <c r="D309" s="181"/>
      <c r="E309" s="182"/>
      <c r="F309" s="182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81"/>
      <c r="AJ309" s="181"/>
      <c r="AK309" s="181"/>
      <c r="AL309" s="181"/>
      <c r="AM309" s="181"/>
      <c r="AN309" s="181"/>
      <c r="AO309" s="181"/>
      <c r="AP309" s="181"/>
      <c r="AQ309" s="181"/>
      <c r="AR309" s="181"/>
      <c r="AS309" s="181"/>
      <c r="AT309" s="181"/>
      <c r="AU309" s="181"/>
      <c r="AV309" s="181"/>
      <c r="AW309" s="181"/>
    </row>
    <row r="310" spans="1:49" ht="13.5" customHeight="1" x14ac:dyDescent="0.3">
      <c r="A310" s="1"/>
      <c r="B310" s="181"/>
      <c r="C310" s="181"/>
      <c r="D310" s="181"/>
      <c r="E310" s="182"/>
      <c r="F310" s="182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81"/>
      <c r="AJ310" s="181"/>
      <c r="AK310" s="181"/>
      <c r="AL310" s="181"/>
      <c r="AM310" s="181"/>
      <c r="AN310" s="181"/>
      <c r="AO310" s="181"/>
      <c r="AP310" s="181"/>
      <c r="AQ310" s="181"/>
      <c r="AR310" s="181"/>
      <c r="AS310" s="181"/>
      <c r="AT310" s="181"/>
      <c r="AU310" s="181"/>
      <c r="AV310" s="181"/>
      <c r="AW310" s="181"/>
    </row>
    <row r="311" spans="1:49" ht="13.5" customHeight="1" x14ac:dyDescent="0.3">
      <c r="A311" s="1"/>
      <c r="B311" s="181"/>
      <c r="C311" s="181"/>
      <c r="D311" s="181"/>
      <c r="E311" s="182"/>
      <c r="F311" s="182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81"/>
      <c r="AJ311" s="181"/>
      <c r="AK311" s="181"/>
      <c r="AL311" s="181"/>
      <c r="AM311" s="181"/>
      <c r="AN311" s="181"/>
      <c r="AO311" s="181"/>
      <c r="AP311" s="181"/>
      <c r="AQ311" s="181"/>
      <c r="AR311" s="181"/>
      <c r="AS311" s="181"/>
      <c r="AT311" s="181"/>
      <c r="AU311" s="181"/>
      <c r="AV311" s="181"/>
      <c r="AW311" s="181"/>
    </row>
    <row r="312" spans="1:49" ht="13.5" customHeight="1" x14ac:dyDescent="0.3">
      <c r="A312" s="1"/>
      <c r="B312" s="181"/>
      <c r="C312" s="181"/>
      <c r="D312" s="181"/>
      <c r="E312" s="182"/>
      <c r="F312" s="182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81"/>
      <c r="AJ312" s="181"/>
      <c r="AK312" s="181"/>
      <c r="AL312" s="181"/>
      <c r="AM312" s="181"/>
      <c r="AN312" s="181"/>
      <c r="AO312" s="181"/>
      <c r="AP312" s="181"/>
      <c r="AQ312" s="181"/>
      <c r="AR312" s="181"/>
      <c r="AS312" s="181"/>
      <c r="AT312" s="181"/>
      <c r="AU312" s="181"/>
      <c r="AV312" s="181"/>
      <c r="AW312" s="181"/>
    </row>
    <row r="313" spans="1:49" ht="13.5" customHeight="1" x14ac:dyDescent="0.3">
      <c r="A313" s="1"/>
      <c r="B313" s="181"/>
      <c r="C313" s="181"/>
      <c r="D313" s="181"/>
      <c r="E313" s="182"/>
      <c r="F313" s="182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81"/>
      <c r="AJ313" s="181"/>
      <c r="AK313" s="181"/>
      <c r="AL313" s="181"/>
      <c r="AM313" s="181"/>
      <c r="AN313" s="181"/>
      <c r="AO313" s="181"/>
      <c r="AP313" s="181"/>
      <c r="AQ313" s="181"/>
      <c r="AR313" s="181"/>
      <c r="AS313" s="181"/>
      <c r="AT313" s="181"/>
      <c r="AU313" s="181"/>
      <c r="AV313" s="181"/>
      <c r="AW313" s="181"/>
    </row>
    <row r="314" spans="1:49" ht="13.5" customHeight="1" x14ac:dyDescent="0.3">
      <c r="A314" s="1"/>
      <c r="B314" s="181"/>
      <c r="C314" s="181"/>
      <c r="D314" s="181"/>
      <c r="E314" s="182"/>
      <c r="F314" s="182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81"/>
      <c r="AJ314" s="181"/>
      <c r="AK314" s="181"/>
      <c r="AL314" s="181"/>
      <c r="AM314" s="181"/>
      <c r="AN314" s="181"/>
      <c r="AO314" s="181"/>
      <c r="AP314" s="181"/>
      <c r="AQ314" s="181"/>
      <c r="AR314" s="181"/>
      <c r="AS314" s="181"/>
      <c r="AT314" s="181"/>
      <c r="AU314" s="181"/>
      <c r="AV314" s="181"/>
      <c r="AW314" s="181"/>
    </row>
    <row r="315" spans="1:49" ht="13.5" customHeight="1" x14ac:dyDescent="0.3">
      <c r="A315" s="1"/>
      <c r="B315" s="181"/>
      <c r="C315" s="181"/>
      <c r="D315" s="181"/>
      <c r="E315" s="182"/>
      <c r="F315" s="182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81"/>
      <c r="AJ315" s="181"/>
      <c r="AK315" s="181"/>
      <c r="AL315" s="181"/>
      <c r="AM315" s="181"/>
      <c r="AN315" s="181"/>
      <c r="AO315" s="181"/>
      <c r="AP315" s="181"/>
      <c r="AQ315" s="181"/>
      <c r="AR315" s="181"/>
      <c r="AS315" s="181"/>
      <c r="AT315" s="181"/>
      <c r="AU315" s="181"/>
      <c r="AV315" s="181"/>
      <c r="AW315" s="181"/>
    </row>
    <row r="316" spans="1:49" ht="13.5" customHeight="1" x14ac:dyDescent="0.3">
      <c r="A316" s="1"/>
      <c r="B316" s="181"/>
      <c r="C316" s="181"/>
      <c r="D316" s="181"/>
      <c r="E316" s="182"/>
      <c r="F316" s="182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81"/>
      <c r="AJ316" s="181"/>
      <c r="AK316" s="181"/>
      <c r="AL316" s="181"/>
      <c r="AM316" s="181"/>
      <c r="AN316" s="181"/>
      <c r="AO316" s="181"/>
      <c r="AP316" s="181"/>
      <c r="AQ316" s="181"/>
      <c r="AR316" s="181"/>
      <c r="AS316" s="181"/>
      <c r="AT316" s="181"/>
      <c r="AU316" s="181"/>
      <c r="AV316" s="181"/>
      <c r="AW316" s="181"/>
    </row>
    <row r="317" spans="1:49" ht="13.5" customHeight="1" x14ac:dyDescent="0.3">
      <c r="A317" s="1"/>
      <c r="B317" s="181"/>
      <c r="C317" s="181"/>
      <c r="D317" s="181"/>
      <c r="E317" s="182"/>
      <c r="F317" s="182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81"/>
      <c r="AJ317" s="181"/>
      <c r="AK317" s="181"/>
      <c r="AL317" s="181"/>
      <c r="AM317" s="181"/>
      <c r="AN317" s="181"/>
      <c r="AO317" s="181"/>
      <c r="AP317" s="181"/>
      <c r="AQ317" s="181"/>
      <c r="AR317" s="181"/>
      <c r="AS317" s="181"/>
      <c r="AT317" s="181"/>
      <c r="AU317" s="181"/>
      <c r="AV317" s="181"/>
      <c r="AW317" s="181"/>
    </row>
    <row r="318" spans="1:49" ht="13.5" customHeight="1" x14ac:dyDescent="0.3">
      <c r="A318" s="1"/>
      <c r="B318" s="181"/>
      <c r="C318" s="181"/>
      <c r="D318" s="181"/>
      <c r="E318" s="182"/>
      <c r="F318" s="182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81"/>
      <c r="AJ318" s="181"/>
      <c r="AK318" s="181"/>
      <c r="AL318" s="181"/>
      <c r="AM318" s="181"/>
      <c r="AN318" s="181"/>
      <c r="AO318" s="181"/>
      <c r="AP318" s="181"/>
      <c r="AQ318" s="181"/>
      <c r="AR318" s="181"/>
      <c r="AS318" s="181"/>
      <c r="AT318" s="181"/>
      <c r="AU318" s="181"/>
      <c r="AV318" s="181"/>
      <c r="AW318" s="181"/>
    </row>
    <row r="319" spans="1:49" ht="13.5" customHeight="1" x14ac:dyDescent="0.3">
      <c r="A319" s="1"/>
      <c r="B319" s="181"/>
      <c r="C319" s="181"/>
      <c r="D319" s="181"/>
      <c r="E319" s="182"/>
      <c r="F319" s="182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81"/>
      <c r="AI319" s="181"/>
      <c r="AJ319" s="181"/>
      <c r="AK319" s="181"/>
      <c r="AL319" s="181"/>
      <c r="AM319" s="181"/>
      <c r="AN319" s="181"/>
      <c r="AO319" s="181"/>
      <c r="AP319" s="181"/>
      <c r="AQ319" s="181"/>
      <c r="AR319" s="181"/>
      <c r="AS319" s="181"/>
      <c r="AT319" s="181"/>
      <c r="AU319" s="181"/>
      <c r="AV319" s="181"/>
      <c r="AW319" s="181"/>
    </row>
    <row r="320" spans="1:49" ht="13.5" customHeight="1" x14ac:dyDescent="0.3">
      <c r="A320" s="1"/>
      <c r="B320" s="181"/>
      <c r="C320" s="181"/>
      <c r="D320" s="181"/>
      <c r="E320" s="182"/>
      <c r="F320" s="182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  <c r="AC320" s="181"/>
      <c r="AD320" s="181"/>
      <c r="AE320" s="181"/>
      <c r="AF320" s="181"/>
      <c r="AG320" s="181"/>
      <c r="AH320" s="181"/>
      <c r="AI320" s="181"/>
      <c r="AJ320" s="181"/>
      <c r="AK320" s="181"/>
      <c r="AL320" s="181"/>
      <c r="AM320" s="181"/>
      <c r="AN320" s="181"/>
      <c r="AO320" s="181"/>
      <c r="AP320" s="181"/>
      <c r="AQ320" s="181"/>
      <c r="AR320" s="181"/>
      <c r="AS320" s="181"/>
      <c r="AT320" s="181"/>
      <c r="AU320" s="181"/>
      <c r="AV320" s="181"/>
      <c r="AW320" s="181"/>
    </row>
    <row r="321" spans="1:49" ht="13.5" customHeight="1" x14ac:dyDescent="0.3">
      <c r="A321" s="1"/>
      <c r="B321" s="181"/>
      <c r="C321" s="181"/>
      <c r="D321" s="181"/>
      <c r="E321" s="182"/>
      <c r="F321" s="182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  <c r="AC321" s="181"/>
      <c r="AD321" s="181"/>
      <c r="AE321" s="181"/>
      <c r="AF321" s="181"/>
      <c r="AG321" s="181"/>
      <c r="AH321" s="181"/>
      <c r="AI321" s="181"/>
      <c r="AJ321" s="181"/>
      <c r="AK321" s="181"/>
      <c r="AL321" s="181"/>
      <c r="AM321" s="181"/>
      <c r="AN321" s="181"/>
      <c r="AO321" s="181"/>
      <c r="AP321" s="181"/>
      <c r="AQ321" s="181"/>
      <c r="AR321" s="181"/>
      <c r="AS321" s="181"/>
      <c r="AT321" s="181"/>
      <c r="AU321" s="181"/>
      <c r="AV321" s="181"/>
      <c r="AW321" s="181"/>
    </row>
    <row r="322" spans="1:49" ht="13.5" customHeight="1" x14ac:dyDescent="0.3">
      <c r="A322" s="1"/>
      <c r="B322" s="181"/>
      <c r="C322" s="181"/>
      <c r="D322" s="181"/>
      <c r="E322" s="182"/>
      <c r="F322" s="182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  <c r="AC322" s="181"/>
      <c r="AD322" s="181"/>
      <c r="AE322" s="181"/>
      <c r="AF322" s="181"/>
      <c r="AG322" s="181"/>
      <c r="AH322" s="181"/>
      <c r="AI322" s="181"/>
      <c r="AJ322" s="181"/>
      <c r="AK322" s="181"/>
      <c r="AL322" s="181"/>
      <c r="AM322" s="181"/>
      <c r="AN322" s="181"/>
      <c r="AO322" s="181"/>
      <c r="AP322" s="181"/>
      <c r="AQ322" s="181"/>
      <c r="AR322" s="181"/>
      <c r="AS322" s="181"/>
      <c r="AT322" s="181"/>
      <c r="AU322" s="181"/>
      <c r="AV322" s="181"/>
      <c r="AW322" s="181"/>
    </row>
    <row r="323" spans="1:49" ht="13.5" customHeight="1" x14ac:dyDescent="0.3">
      <c r="A323" s="1"/>
      <c r="B323" s="181"/>
      <c r="C323" s="181"/>
      <c r="D323" s="181"/>
      <c r="E323" s="182"/>
      <c r="F323" s="182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  <c r="AC323" s="181"/>
      <c r="AD323" s="181"/>
      <c r="AE323" s="181"/>
      <c r="AF323" s="181"/>
      <c r="AG323" s="181"/>
      <c r="AH323" s="181"/>
      <c r="AI323" s="181"/>
      <c r="AJ323" s="181"/>
      <c r="AK323" s="181"/>
      <c r="AL323" s="181"/>
      <c r="AM323" s="181"/>
      <c r="AN323" s="181"/>
      <c r="AO323" s="181"/>
      <c r="AP323" s="181"/>
      <c r="AQ323" s="181"/>
      <c r="AR323" s="181"/>
      <c r="AS323" s="181"/>
      <c r="AT323" s="181"/>
      <c r="AU323" s="181"/>
      <c r="AV323" s="181"/>
      <c r="AW323" s="181"/>
    </row>
    <row r="324" spans="1:49" ht="13.5" customHeight="1" x14ac:dyDescent="0.3">
      <c r="A324" s="1"/>
      <c r="B324" s="181"/>
      <c r="C324" s="181"/>
      <c r="D324" s="181"/>
      <c r="E324" s="182"/>
      <c r="F324" s="182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  <c r="AC324" s="181"/>
      <c r="AD324" s="181"/>
      <c r="AE324" s="181"/>
      <c r="AF324" s="181"/>
      <c r="AG324" s="181"/>
      <c r="AH324" s="181"/>
      <c r="AI324" s="181"/>
      <c r="AJ324" s="181"/>
      <c r="AK324" s="181"/>
      <c r="AL324" s="181"/>
      <c r="AM324" s="181"/>
      <c r="AN324" s="181"/>
      <c r="AO324" s="181"/>
      <c r="AP324" s="181"/>
      <c r="AQ324" s="181"/>
      <c r="AR324" s="181"/>
      <c r="AS324" s="181"/>
      <c r="AT324" s="181"/>
      <c r="AU324" s="181"/>
      <c r="AV324" s="181"/>
      <c r="AW324" s="181"/>
    </row>
    <row r="325" spans="1:49" ht="13.5" customHeight="1" x14ac:dyDescent="0.3">
      <c r="A325" s="1"/>
      <c r="B325" s="181"/>
      <c r="C325" s="181"/>
      <c r="D325" s="181"/>
      <c r="E325" s="182"/>
      <c r="F325" s="182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  <c r="AC325" s="181"/>
      <c r="AD325" s="181"/>
      <c r="AE325" s="181"/>
      <c r="AF325" s="181"/>
      <c r="AG325" s="181"/>
      <c r="AH325" s="181"/>
      <c r="AI325" s="181"/>
      <c r="AJ325" s="181"/>
      <c r="AK325" s="181"/>
      <c r="AL325" s="181"/>
      <c r="AM325" s="181"/>
      <c r="AN325" s="181"/>
      <c r="AO325" s="181"/>
      <c r="AP325" s="181"/>
      <c r="AQ325" s="181"/>
      <c r="AR325" s="181"/>
      <c r="AS325" s="181"/>
      <c r="AT325" s="181"/>
      <c r="AU325" s="181"/>
      <c r="AV325" s="181"/>
      <c r="AW325" s="181"/>
    </row>
    <row r="326" spans="1:49" ht="13.5" customHeight="1" x14ac:dyDescent="0.3">
      <c r="A326" s="1"/>
      <c r="B326" s="181"/>
      <c r="C326" s="181"/>
      <c r="D326" s="181"/>
      <c r="E326" s="182"/>
      <c r="F326" s="182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  <c r="AC326" s="181"/>
      <c r="AD326" s="181"/>
      <c r="AE326" s="181"/>
      <c r="AF326" s="181"/>
      <c r="AG326" s="181"/>
      <c r="AH326" s="181"/>
      <c r="AI326" s="181"/>
      <c r="AJ326" s="181"/>
      <c r="AK326" s="181"/>
      <c r="AL326" s="181"/>
      <c r="AM326" s="181"/>
      <c r="AN326" s="181"/>
      <c r="AO326" s="181"/>
      <c r="AP326" s="181"/>
      <c r="AQ326" s="181"/>
      <c r="AR326" s="181"/>
      <c r="AS326" s="181"/>
      <c r="AT326" s="181"/>
      <c r="AU326" s="181"/>
      <c r="AV326" s="181"/>
      <c r="AW326" s="181"/>
    </row>
    <row r="327" spans="1:49" ht="13.5" customHeight="1" x14ac:dyDescent="0.3">
      <c r="A327" s="1"/>
      <c r="B327" s="181"/>
      <c r="C327" s="181"/>
      <c r="D327" s="181"/>
      <c r="E327" s="182"/>
      <c r="F327" s="182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81"/>
      <c r="AJ327" s="181"/>
      <c r="AK327" s="181"/>
      <c r="AL327" s="181"/>
      <c r="AM327" s="181"/>
      <c r="AN327" s="181"/>
      <c r="AO327" s="181"/>
      <c r="AP327" s="181"/>
      <c r="AQ327" s="181"/>
      <c r="AR327" s="181"/>
      <c r="AS327" s="181"/>
      <c r="AT327" s="181"/>
      <c r="AU327" s="181"/>
      <c r="AV327" s="181"/>
      <c r="AW327" s="181"/>
    </row>
    <row r="328" spans="1:49" ht="13.5" customHeight="1" x14ac:dyDescent="0.3">
      <c r="A328" s="1"/>
      <c r="B328" s="181"/>
      <c r="C328" s="181"/>
      <c r="D328" s="181"/>
      <c r="E328" s="182"/>
      <c r="F328" s="182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81"/>
      <c r="AJ328" s="181"/>
      <c r="AK328" s="181"/>
      <c r="AL328" s="181"/>
      <c r="AM328" s="181"/>
      <c r="AN328" s="181"/>
      <c r="AO328" s="181"/>
      <c r="AP328" s="181"/>
      <c r="AQ328" s="181"/>
      <c r="AR328" s="181"/>
      <c r="AS328" s="181"/>
      <c r="AT328" s="181"/>
      <c r="AU328" s="181"/>
      <c r="AV328" s="181"/>
      <c r="AW328" s="181"/>
    </row>
    <row r="329" spans="1:49" ht="13.5" customHeight="1" x14ac:dyDescent="0.3">
      <c r="A329" s="1"/>
      <c r="B329" s="181"/>
      <c r="C329" s="181"/>
      <c r="D329" s="181"/>
      <c r="E329" s="182"/>
      <c r="F329" s="182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81"/>
      <c r="AJ329" s="181"/>
      <c r="AK329" s="181"/>
      <c r="AL329" s="181"/>
      <c r="AM329" s="181"/>
      <c r="AN329" s="181"/>
      <c r="AO329" s="181"/>
      <c r="AP329" s="181"/>
      <c r="AQ329" s="181"/>
      <c r="AR329" s="181"/>
      <c r="AS329" s="181"/>
      <c r="AT329" s="181"/>
      <c r="AU329" s="181"/>
      <c r="AV329" s="181"/>
      <c r="AW329" s="181"/>
    </row>
    <row r="330" spans="1:49" ht="13.5" customHeight="1" x14ac:dyDescent="0.3">
      <c r="A330" s="1"/>
      <c r="B330" s="181"/>
      <c r="C330" s="181"/>
      <c r="D330" s="181"/>
      <c r="E330" s="182"/>
      <c r="F330" s="182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81"/>
      <c r="AJ330" s="181"/>
      <c r="AK330" s="181"/>
      <c r="AL330" s="181"/>
      <c r="AM330" s="181"/>
      <c r="AN330" s="181"/>
      <c r="AO330" s="181"/>
      <c r="AP330" s="181"/>
      <c r="AQ330" s="181"/>
      <c r="AR330" s="181"/>
      <c r="AS330" s="181"/>
      <c r="AT330" s="181"/>
      <c r="AU330" s="181"/>
      <c r="AV330" s="181"/>
      <c r="AW330" s="181"/>
    </row>
    <row r="331" spans="1:49" ht="13.5" customHeight="1" x14ac:dyDescent="0.3">
      <c r="A331" s="1"/>
      <c r="B331" s="181"/>
      <c r="C331" s="181"/>
      <c r="D331" s="181"/>
      <c r="E331" s="182"/>
      <c r="F331" s="182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81"/>
      <c r="AJ331" s="181"/>
      <c r="AK331" s="181"/>
      <c r="AL331" s="181"/>
      <c r="AM331" s="181"/>
      <c r="AN331" s="181"/>
      <c r="AO331" s="181"/>
      <c r="AP331" s="181"/>
      <c r="AQ331" s="181"/>
      <c r="AR331" s="181"/>
      <c r="AS331" s="181"/>
      <c r="AT331" s="181"/>
      <c r="AU331" s="181"/>
      <c r="AV331" s="181"/>
      <c r="AW331" s="181"/>
    </row>
    <row r="332" spans="1:49" ht="13.5" customHeight="1" x14ac:dyDescent="0.3">
      <c r="A332" s="1"/>
      <c r="B332" s="181"/>
      <c r="C332" s="181"/>
      <c r="D332" s="181"/>
      <c r="E332" s="182"/>
      <c r="F332" s="182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81"/>
      <c r="AJ332" s="181"/>
      <c r="AK332" s="181"/>
      <c r="AL332" s="181"/>
      <c r="AM332" s="181"/>
      <c r="AN332" s="181"/>
      <c r="AO332" s="181"/>
      <c r="AP332" s="181"/>
      <c r="AQ332" s="181"/>
      <c r="AR332" s="181"/>
      <c r="AS332" s="181"/>
      <c r="AT332" s="181"/>
      <c r="AU332" s="181"/>
      <c r="AV332" s="181"/>
      <c r="AW332" s="181"/>
    </row>
    <row r="333" spans="1:49" ht="13.5" customHeight="1" x14ac:dyDescent="0.3">
      <c r="A333" s="1"/>
      <c r="B333" s="181"/>
      <c r="C333" s="181"/>
      <c r="D333" s="181"/>
      <c r="E333" s="182"/>
      <c r="F333" s="182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81"/>
      <c r="AJ333" s="181"/>
      <c r="AK333" s="181"/>
      <c r="AL333" s="181"/>
      <c r="AM333" s="181"/>
      <c r="AN333" s="181"/>
      <c r="AO333" s="181"/>
      <c r="AP333" s="181"/>
      <c r="AQ333" s="181"/>
      <c r="AR333" s="181"/>
      <c r="AS333" s="181"/>
      <c r="AT333" s="181"/>
      <c r="AU333" s="181"/>
      <c r="AV333" s="181"/>
      <c r="AW333" s="181"/>
    </row>
    <row r="334" spans="1:49" ht="13.5" customHeight="1" x14ac:dyDescent="0.3">
      <c r="A334" s="1"/>
      <c r="B334" s="181"/>
      <c r="C334" s="181"/>
      <c r="D334" s="181"/>
      <c r="E334" s="182"/>
      <c r="F334" s="182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81"/>
      <c r="AJ334" s="181"/>
      <c r="AK334" s="181"/>
      <c r="AL334" s="181"/>
      <c r="AM334" s="181"/>
      <c r="AN334" s="181"/>
      <c r="AO334" s="181"/>
      <c r="AP334" s="181"/>
      <c r="AQ334" s="181"/>
      <c r="AR334" s="181"/>
      <c r="AS334" s="181"/>
      <c r="AT334" s="181"/>
      <c r="AU334" s="181"/>
      <c r="AV334" s="181"/>
      <c r="AW334" s="181"/>
    </row>
    <row r="335" spans="1:49" ht="13.5" customHeight="1" x14ac:dyDescent="0.3">
      <c r="A335" s="1"/>
      <c r="B335" s="181"/>
      <c r="C335" s="181"/>
      <c r="D335" s="181"/>
      <c r="E335" s="182"/>
      <c r="F335" s="182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81"/>
      <c r="AJ335" s="181"/>
      <c r="AK335" s="181"/>
      <c r="AL335" s="181"/>
      <c r="AM335" s="181"/>
      <c r="AN335" s="181"/>
      <c r="AO335" s="181"/>
      <c r="AP335" s="181"/>
      <c r="AQ335" s="181"/>
      <c r="AR335" s="181"/>
      <c r="AS335" s="181"/>
      <c r="AT335" s="181"/>
      <c r="AU335" s="181"/>
      <c r="AV335" s="181"/>
      <c r="AW335" s="181"/>
    </row>
    <row r="336" spans="1:49" ht="13.5" customHeight="1" x14ac:dyDescent="0.3">
      <c r="A336" s="1"/>
      <c r="B336" s="181"/>
      <c r="C336" s="181"/>
      <c r="D336" s="181"/>
      <c r="E336" s="182"/>
      <c r="F336" s="182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81"/>
      <c r="AJ336" s="181"/>
      <c r="AK336" s="181"/>
      <c r="AL336" s="181"/>
      <c r="AM336" s="181"/>
      <c r="AN336" s="181"/>
      <c r="AO336" s="181"/>
      <c r="AP336" s="181"/>
      <c r="AQ336" s="181"/>
      <c r="AR336" s="181"/>
      <c r="AS336" s="181"/>
      <c r="AT336" s="181"/>
      <c r="AU336" s="181"/>
      <c r="AV336" s="181"/>
      <c r="AW336" s="181"/>
    </row>
    <row r="337" spans="1:49" ht="13.5" customHeight="1" x14ac:dyDescent="0.3">
      <c r="A337" s="1"/>
      <c r="B337" s="181"/>
      <c r="C337" s="181"/>
      <c r="D337" s="181"/>
      <c r="E337" s="182"/>
      <c r="F337" s="182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81"/>
      <c r="AJ337" s="181"/>
      <c r="AK337" s="181"/>
      <c r="AL337" s="181"/>
      <c r="AM337" s="181"/>
      <c r="AN337" s="181"/>
      <c r="AO337" s="181"/>
      <c r="AP337" s="181"/>
      <c r="AQ337" s="181"/>
      <c r="AR337" s="181"/>
      <c r="AS337" s="181"/>
      <c r="AT337" s="181"/>
      <c r="AU337" s="181"/>
      <c r="AV337" s="181"/>
      <c r="AW337" s="181"/>
    </row>
    <row r="338" spans="1:49" ht="13.5" customHeight="1" x14ac:dyDescent="0.3">
      <c r="A338" s="1"/>
      <c r="B338" s="181"/>
      <c r="C338" s="181"/>
      <c r="D338" s="181"/>
      <c r="E338" s="182"/>
      <c r="F338" s="182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81"/>
      <c r="AJ338" s="181"/>
      <c r="AK338" s="181"/>
      <c r="AL338" s="181"/>
      <c r="AM338" s="181"/>
      <c r="AN338" s="181"/>
      <c r="AO338" s="181"/>
      <c r="AP338" s="181"/>
      <c r="AQ338" s="181"/>
      <c r="AR338" s="181"/>
      <c r="AS338" s="181"/>
      <c r="AT338" s="181"/>
      <c r="AU338" s="181"/>
      <c r="AV338" s="181"/>
      <c r="AW338" s="181"/>
    </row>
    <row r="339" spans="1:49" ht="13.5" customHeight="1" x14ac:dyDescent="0.3">
      <c r="A339" s="1"/>
      <c r="B339" s="181"/>
      <c r="C339" s="181"/>
      <c r="D339" s="181"/>
      <c r="E339" s="182"/>
      <c r="F339" s="182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81"/>
      <c r="AJ339" s="181"/>
      <c r="AK339" s="181"/>
      <c r="AL339" s="181"/>
      <c r="AM339" s="181"/>
      <c r="AN339" s="181"/>
      <c r="AO339" s="181"/>
      <c r="AP339" s="181"/>
      <c r="AQ339" s="181"/>
      <c r="AR339" s="181"/>
      <c r="AS339" s="181"/>
      <c r="AT339" s="181"/>
      <c r="AU339" s="181"/>
      <c r="AV339" s="181"/>
      <c r="AW339" s="181"/>
    </row>
    <row r="340" spans="1:49" ht="13.5" customHeight="1" x14ac:dyDescent="0.3">
      <c r="A340" s="1"/>
      <c r="B340" s="181"/>
      <c r="C340" s="181"/>
      <c r="D340" s="181"/>
      <c r="E340" s="182"/>
      <c r="F340" s="182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81"/>
      <c r="AJ340" s="181"/>
      <c r="AK340" s="181"/>
      <c r="AL340" s="181"/>
      <c r="AM340" s="181"/>
      <c r="AN340" s="181"/>
      <c r="AO340" s="181"/>
      <c r="AP340" s="181"/>
      <c r="AQ340" s="181"/>
      <c r="AR340" s="181"/>
      <c r="AS340" s="181"/>
      <c r="AT340" s="181"/>
      <c r="AU340" s="181"/>
      <c r="AV340" s="181"/>
      <c r="AW340" s="181"/>
    </row>
    <row r="341" spans="1:49" ht="13.5" customHeight="1" x14ac:dyDescent="0.3">
      <c r="A341" s="1"/>
      <c r="B341" s="181"/>
      <c r="C341" s="181"/>
      <c r="D341" s="181"/>
      <c r="E341" s="182"/>
      <c r="F341" s="182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81"/>
      <c r="AJ341" s="181"/>
      <c r="AK341" s="181"/>
      <c r="AL341" s="181"/>
      <c r="AM341" s="181"/>
      <c r="AN341" s="181"/>
      <c r="AO341" s="181"/>
      <c r="AP341" s="181"/>
      <c r="AQ341" s="181"/>
      <c r="AR341" s="181"/>
      <c r="AS341" s="181"/>
      <c r="AT341" s="181"/>
      <c r="AU341" s="181"/>
      <c r="AV341" s="181"/>
      <c r="AW341" s="181"/>
    </row>
    <row r="342" spans="1:49" ht="13.5" customHeight="1" x14ac:dyDescent="0.3">
      <c r="A342" s="1"/>
      <c r="B342" s="181"/>
      <c r="C342" s="181"/>
      <c r="D342" s="181"/>
      <c r="E342" s="182"/>
      <c r="F342" s="182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81"/>
      <c r="AI342" s="181"/>
      <c r="AJ342" s="181"/>
      <c r="AK342" s="181"/>
      <c r="AL342" s="181"/>
      <c r="AM342" s="181"/>
      <c r="AN342" s="181"/>
      <c r="AO342" s="181"/>
      <c r="AP342" s="181"/>
      <c r="AQ342" s="181"/>
      <c r="AR342" s="181"/>
      <c r="AS342" s="181"/>
      <c r="AT342" s="181"/>
      <c r="AU342" s="181"/>
      <c r="AV342" s="181"/>
      <c r="AW342" s="181"/>
    </row>
    <row r="343" spans="1:49" ht="13.5" customHeight="1" x14ac:dyDescent="0.3">
      <c r="A343" s="1"/>
      <c r="B343" s="181"/>
      <c r="C343" s="181"/>
      <c r="D343" s="181"/>
      <c r="E343" s="182"/>
      <c r="F343" s="182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  <c r="AC343" s="181"/>
      <c r="AD343" s="181"/>
      <c r="AE343" s="181"/>
      <c r="AF343" s="181"/>
      <c r="AG343" s="181"/>
      <c r="AH343" s="181"/>
      <c r="AI343" s="181"/>
      <c r="AJ343" s="181"/>
      <c r="AK343" s="181"/>
      <c r="AL343" s="181"/>
      <c r="AM343" s="181"/>
      <c r="AN343" s="181"/>
      <c r="AO343" s="181"/>
      <c r="AP343" s="181"/>
      <c r="AQ343" s="181"/>
      <c r="AR343" s="181"/>
      <c r="AS343" s="181"/>
      <c r="AT343" s="181"/>
      <c r="AU343" s="181"/>
      <c r="AV343" s="181"/>
      <c r="AW343" s="181"/>
    </row>
    <row r="344" spans="1:49" ht="13.5" customHeight="1" x14ac:dyDescent="0.3">
      <c r="A344" s="1"/>
      <c r="B344" s="181"/>
      <c r="C344" s="181"/>
      <c r="D344" s="181"/>
      <c r="E344" s="182"/>
      <c r="F344" s="182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  <c r="AC344" s="181"/>
      <c r="AD344" s="181"/>
      <c r="AE344" s="181"/>
      <c r="AF344" s="181"/>
      <c r="AG344" s="181"/>
      <c r="AH344" s="181"/>
      <c r="AI344" s="181"/>
      <c r="AJ344" s="181"/>
      <c r="AK344" s="181"/>
      <c r="AL344" s="181"/>
      <c r="AM344" s="181"/>
      <c r="AN344" s="181"/>
      <c r="AO344" s="181"/>
      <c r="AP344" s="181"/>
      <c r="AQ344" s="181"/>
      <c r="AR344" s="181"/>
      <c r="AS344" s="181"/>
      <c r="AT344" s="181"/>
      <c r="AU344" s="181"/>
      <c r="AV344" s="181"/>
      <c r="AW344" s="181"/>
    </row>
    <row r="345" spans="1:49" ht="13.5" customHeight="1" x14ac:dyDescent="0.3">
      <c r="A345" s="1"/>
      <c r="B345" s="181"/>
      <c r="C345" s="181"/>
      <c r="D345" s="181"/>
      <c r="E345" s="182"/>
      <c r="F345" s="182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  <c r="AC345" s="181"/>
      <c r="AD345" s="181"/>
      <c r="AE345" s="181"/>
      <c r="AF345" s="181"/>
      <c r="AG345" s="181"/>
      <c r="AH345" s="181"/>
      <c r="AI345" s="181"/>
      <c r="AJ345" s="181"/>
      <c r="AK345" s="181"/>
      <c r="AL345" s="181"/>
      <c r="AM345" s="181"/>
      <c r="AN345" s="181"/>
      <c r="AO345" s="181"/>
      <c r="AP345" s="181"/>
      <c r="AQ345" s="181"/>
      <c r="AR345" s="181"/>
      <c r="AS345" s="181"/>
      <c r="AT345" s="181"/>
      <c r="AU345" s="181"/>
      <c r="AV345" s="181"/>
      <c r="AW345" s="181"/>
    </row>
    <row r="346" spans="1:49" ht="13.5" customHeight="1" x14ac:dyDescent="0.3">
      <c r="A346" s="1"/>
      <c r="B346" s="181"/>
      <c r="C346" s="181"/>
      <c r="D346" s="181"/>
      <c r="E346" s="182"/>
      <c r="F346" s="182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  <c r="AC346" s="181"/>
      <c r="AD346" s="181"/>
      <c r="AE346" s="181"/>
      <c r="AF346" s="181"/>
      <c r="AG346" s="181"/>
      <c r="AH346" s="181"/>
      <c r="AI346" s="181"/>
      <c r="AJ346" s="181"/>
      <c r="AK346" s="181"/>
      <c r="AL346" s="181"/>
      <c r="AM346" s="181"/>
      <c r="AN346" s="181"/>
      <c r="AO346" s="181"/>
      <c r="AP346" s="181"/>
      <c r="AQ346" s="181"/>
      <c r="AR346" s="181"/>
      <c r="AS346" s="181"/>
      <c r="AT346" s="181"/>
      <c r="AU346" s="181"/>
      <c r="AV346" s="181"/>
      <c r="AW346" s="181"/>
    </row>
    <row r="347" spans="1:49" ht="13.5" customHeight="1" x14ac:dyDescent="0.3">
      <c r="A347" s="1"/>
      <c r="B347" s="181"/>
      <c r="C347" s="181"/>
      <c r="D347" s="181"/>
      <c r="E347" s="182"/>
      <c r="F347" s="182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  <c r="AC347" s="181"/>
      <c r="AD347" s="181"/>
      <c r="AE347" s="181"/>
      <c r="AF347" s="181"/>
      <c r="AG347" s="181"/>
      <c r="AH347" s="181"/>
      <c r="AI347" s="181"/>
      <c r="AJ347" s="181"/>
      <c r="AK347" s="181"/>
      <c r="AL347" s="181"/>
      <c r="AM347" s="181"/>
      <c r="AN347" s="181"/>
      <c r="AO347" s="181"/>
      <c r="AP347" s="181"/>
      <c r="AQ347" s="181"/>
      <c r="AR347" s="181"/>
      <c r="AS347" s="181"/>
      <c r="AT347" s="181"/>
      <c r="AU347" s="181"/>
      <c r="AV347" s="181"/>
      <c r="AW347" s="181"/>
    </row>
    <row r="348" spans="1:49" ht="13.5" customHeight="1" x14ac:dyDescent="0.3">
      <c r="A348" s="1"/>
      <c r="B348" s="181"/>
      <c r="C348" s="181"/>
      <c r="D348" s="181"/>
      <c r="E348" s="182"/>
      <c r="F348" s="182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  <c r="AC348" s="181"/>
      <c r="AD348" s="181"/>
      <c r="AE348" s="181"/>
      <c r="AF348" s="181"/>
      <c r="AG348" s="181"/>
      <c r="AH348" s="181"/>
      <c r="AI348" s="181"/>
      <c r="AJ348" s="181"/>
      <c r="AK348" s="181"/>
      <c r="AL348" s="181"/>
      <c r="AM348" s="181"/>
      <c r="AN348" s="181"/>
      <c r="AO348" s="181"/>
      <c r="AP348" s="181"/>
      <c r="AQ348" s="181"/>
      <c r="AR348" s="181"/>
      <c r="AS348" s="181"/>
      <c r="AT348" s="181"/>
      <c r="AU348" s="181"/>
      <c r="AV348" s="181"/>
      <c r="AW348" s="181"/>
    </row>
    <row r="349" spans="1:49" ht="13.5" customHeight="1" x14ac:dyDescent="0.3">
      <c r="A349" s="1"/>
      <c r="B349" s="181"/>
      <c r="C349" s="181"/>
      <c r="D349" s="181"/>
      <c r="E349" s="182"/>
      <c r="F349" s="182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  <c r="AC349" s="181"/>
      <c r="AD349" s="181"/>
      <c r="AE349" s="181"/>
      <c r="AF349" s="181"/>
      <c r="AG349" s="181"/>
      <c r="AH349" s="181"/>
      <c r="AI349" s="181"/>
      <c r="AJ349" s="181"/>
      <c r="AK349" s="181"/>
      <c r="AL349" s="181"/>
      <c r="AM349" s="181"/>
      <c r="AN349" s="181"/>
      <c r="AO349" s="181"/>
      <c r="AP349" s="181"/>
      <c r="AQ349" s="181"/>
      <c r="AR349" s="181"/>
      <c r="AS349" s="181"/>
      <c r="AT349" s="181"/>
      <c r="AU349" s="181"/>
      <c r="AV349" s="181"/>
      <c r="AW349" s="181"/>
    </row>
    <row r="350" spans="1:49" ht="13.5" customHeight="1" x14ac:dyDescent="0.3">
      <c r="A350" s="1"/>
      <c r="B350" s="181"/>
      <c r="C350" s="181"/>
      <c r="D350" s="181"/>
      <c r="E350" s="182"/>
      <c r="F350" s="182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81"/>
      <c r="AJ350" s="181"/>
      <c r="AK350" s="181"/>
      <c r="AL350" s="181"/>
      <c r="AM350" s="181"/>
      <c r="AN350" s="181"/>
      <c r="AO350" s="181"/>
      <c r="AP350" s="181"/>
      <c r="AQ350" s="181"/>
      <c r="AR350" s="181"/>
      <c r="AS350" s="181"/>
      <c r="AT350" s="181"/>
      <c r="AU350" s="181"/>
      <c r="AV350" s="181"/>
      <c r="AW350" s="181"/>
    </row>
    <row r="351" spans="1:49" ht="13.5" customHeight="1" x14ac:dyDescent="0.3">
      <c r="A351" s="1"/>
      <c r="B351" s="181"/>
      <c r="C351" s="181"/>
      <c r="D351" s="181"/>
      <c r="E351" s="182"/>
      <c r="F351" s="182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81"/>
      <c r="AJ351" s="181"/>
      <c r="AK351" s="181"/>
      <c r="AL351" s="181"/>
      <c r="AM351" s="181"/>
      <c r="AN351" s="181"/>
      <c r="AO351" s="181"/>
      <c r="AP351" s="181"/>
      <c r="AQ351" s="181"/>
      <c r="AR351" s="181"/>
      <c r="AS351" s="181"/>
      <c r="AT351" s="181"/>
      <c r="AU351" s="181"/>
      <c r="AV351" s="181"/>
      <c r="AW351" s="181"/>
    </row>
    <row r="352" spans="1:49" ht="13.5" customHeight="1" x14ac:dyDescent="0.3">
      <c r="A352" s="1"/>
      <c r="B352" s="181"/>
      <c r="C352" s="181"/>
      <c r="D352" s="181"/>
      <c r="E352" s="182"/>
      <c r="F352" s="182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81"/>
      <c r="AJ352" s="181"/>
      <c r="AK352" s="181"/>
      <c r="AL352" s="181"/>
      <c r="AM352" s="181"/>
      <c r="AN352" s="181"/>
      <c r="AO352" s="181"/>
      <c r="AP352" s="181"/>
      <c r="AQ352" s="181"/>
      <c r="AR352" s="181"/>
      <c r="AS352" s="181"/>
      <c r="AT352" s="181"/>
      <c r="AU352" s="181"/>
      <c r="AV352" s="181"/>
      <c r="AW352" s="181"/>
    </row>
    <row r="353" spans="1:49" ht="13.5" customHeight="1" x14ac:dyDescent="0.3">
      <c r="A353" s="1"/>
      <c r="B353" s="181"/>
      <c r="C353" s="181"/>
      <c r="D353" s="181"/>
      <c r="E353" s="182"/>
      <c r="F353" s="182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81"/>
      <c r="AJ353" s="181"/>
      <c r="AK353" s="181"/>
      <c r="AL353" s="181"/>
      <c r="AM353" s="181"/>
      <c r="AN353" s="181"/>
      <c r="AO353" s="181"/>
      <c r="AP353" s="181"/>
      <c r="AQ353" s="181"/>
      <c r="AR353" s="181"/>
      <c r="AS353" s="181"/>
      <c r="AT353" s="181"/>
      <c r="AU353" s="181"/>
      <c r="AV353" s="181"/>
      <c r="AW353" s="181"/>
    </row>
    <row r="354" spans="1:49" ht="13.5" customHeight="1" x14ac:dyDescent="0.3">
      <c r="A354" s="1"/>
      <c r="B354" s="181"/>
      <c r="C354" s="181"/>
      <c r="D354" s="181"/>
      <c r="E354" s="182"/>
      <c r="F354" s="182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81"/>
      <c r="AJ354" s="181"/>
      <c r="AK354" s="181"/>
      <c r="AL354" s="181"/>
      <c r="AM354" s="181"/>
      <c r="AN354" s="181"/>
      <c r="AO354" s="181"/>
      <c r="AP354" s="181"/>
      <c r="AQ354" s="181"/>
      <c r="AR354" s="181"/>
      <c r="AS354" s="181"/>
      <c r="AT354" s="181"/>
      <c r="AU354" s="181"/>
      <c r="AV354" s="181"/>
      <c r="AW354" s="181"/>
    </row>
    <row r="355" spans="1:49" ht="13.5" customHeight="1" x14ac:dyDescent="0.3">
      <c r="A355" s="1"/>
      <c r="B355" s="181"/>
      <c r="C355" s="181"/>
      <c r="D355" s="181"/>
      <c r="E355" s="182"/>
      <c r="F355" s="182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81"/>
      <c r="AJ355" s="181"/>
      <c r="AK355" s="181"/>
      <c r="AL355" s="181"/>
      <c r="AM355" s="181"/>
      <c r="AN355" s="181"/>
      <c r="AO355" s="181"/>
      <c r="AP355" s="181"/>
      <c r="AQ355" s="181"/>
      <c r="AR355" s="181"/>
      <c r="AS355" s="181"/>
      <c r="AT355" s="181"/>
      <c r="AU355" s="181"/>
      <c r="AV355" s="181"/>
      <c r="AW355" s="181"/>
    </row>
    <row r="356" spans="1:49" ht="13.5" customHeight="1" x14ac:dyDescent="0.3">
      <c r="A356" s="1"/>
      <c r="B356" s="181"/>
      <c r="C356" s="181"/>
      <c r="D356" s="181"/>
      <c r="E356" s="182"/>
      <c r="F356" s="182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81"/>
      <c r="AJ356" s="181"/>
      <c r="AK356" s="181"/>
      <c r="AL356" s="181"/>
      <c r="AM356" s="181"/>
      <c r="AN356" s="181"/>
      <c r="AO356" s="181"/>
      <c r="AP356" s="181"/>
      <c r="AQ356" s="181"/>
      <c r="AR356" s="181"/>
      <c r="AS356" s="181"/>
      <c r="AT356" s="181"/>
      <c r="AU356" s="181"/>
      <c r="AV356" s="181"/>
      <c r="AW356" s="181"/>
    </row>
    <row r="357" spans="1:49" ht="13.5" customHeight="1" x14ac:dyDescent="0.3">
      <c r="A357" s="1"/>
      <c r="B357" s="181"/>
      <c r="C357" s="181"/>
      <c r="D357" s="181"/>
      <c r="E357" s="182"/>
      <c r="F357" s="182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81"/>
      <c r="AJ357" s="181"/>
      <c r="AK357" s="181"/>
      <c r="AL357" s="181"/>
      <c r="AM357" s="181"/>
      <c r="AN357" s="181"/>
      <c r="AO357" s="181"/>
      <c r="AP357" s="181"/>
      <c r="AQ357" s="181"/>
      <c r="AR357" s="181"/>
      <c r="AS357" s="181"/>
      <c r="AT357" s="181"/>
      <c r="AU357" s="181"/>
      <c r="AV357" s="181"/>
      <c r="AW357" s="181"/>
    </row>
    <row r="358" spans="1:49" ht="13.5" customHeight="1" x14ac:dyDescent="0.3">
      <c r="A358" s="1"/>
      <c r="B358" s="181"/>
      <c r="C358" s="181"/>
      <c r="D358" s="181"/>
      <c r="E358" s="182"/>
      <c r="F358" s="182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81"/>
      <c r="AJ358" s="181"/>
      <c r="AK358" s="181"/>
      <c r="AL358" s="181"/>
      <c r="AM358" s="181"/>
      <c r="AN358" s="181"/>
      <c r="AO358" s="181"/>
      <c r="AP358" s="181"/>
      <c r="AQ358" s="181"/>
      <c r="AR358" s="181"/>
      <c r="AS358" s="181"/>
      <c r="AT358" s="181"/>
      <c r="AU358" s="181"/>
      <c r="AV358" s="181"/>
      <c r="AW358" s="181"/>
    </row>
    <row r="359" spans="1:49" ht="13.5" customHeight="1" x14ac:dyDescent="0.3">
      <c r="A359" s="1"/>
      <c r="B359" s="181"/>
      <c r="C359" s="181"/>
      <c r="D359" s="181"/>
      <c r="E359" s="182"/>
      <c r="F359" s="182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81"/>
      <c r="AJ359" s="181"/>
      <c r="AK359" s="181"/>
      <c r="AL359" s="181"/>
      <c r="AM359" s="181"/>
      <c r="AN359" s="181"/>
      <c r="AO359" s="181"/>
      <c r="AP359" s="181"/>
      <c r="AQ359" s="181"/>
      <c r="AR359" s="181"/>
      <c r="AS359" s="181"/>
      <c r="AT359" s="181"/>
      <c r="AU359" s="181"/>
      <c r="AV359" s="181"/>
      <c r="AW359" s="181"/>
    </row>
    <row r="360" spans="1:49" ht="13.5" customHeight="1" x14ac:dyDescent="0.3">
      <c r="A360" s="1"/>
      <c r="B360" s="181"/>
      <c r="C360" s="181"/>
      <c r="D360" s="181"/>
      <c r="E360" s="182"/>
      <c r="F360" s="182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81"/>
      <c r="AJ360" s="181"/>
      <c r="AK360" s="181"/>
      <c r="AL360" s="181"/>
      <c r="AM360" s="181"/>
      <c r="AN360" s="181"/>
      <c r="AO360" s="181"/>
      <c r="AP360" s="181"/>
      <c r="AQ360" s="181"/>
      <c r="AR360" s="181"/>
      <c r="AS360" s="181"/>
      <c r="AT360" s="181"/>
      <c r="AU360" s="181"/>
      <c r="AV360" s="181"/>
      <c r="AW360" s="181"/>
    </row>
    <row r="361" spans="1:49" ht="13.5" customHeight="1" x14ac:dyDescent="0.3">
      <c r="A361" s="1"/>
      <c r="B361" s="181"/>
      <c r="C361" s="181"/>
      <c r="D361" s="181"/>
      <c r="E361" s="182"/>
      <c r="F361" s="182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81"/>
      <c r="AJ361" s="181"/>
      <c r="AK361" s="181"/>
      <c r="AL361" s="181"/>
      <c r="AM361" s="181"/>
      <c r="AN361" s="181"/>
      <c r="AO361" s="181"/>
      <c r="AP361" s="181"/>
      <c r="AQ361" s="181"/>
      <c r="AR361" s="181"/>
      <c r="AS361" s="181"/>
      <c r="AT361" s="181"/>
      <c r="AU361" s="181"/>
      <c r="AV361" s="181"/>
      <c r="AW361" s="181"/>
    </row>
    <row r="362" spans="1:49" ht="13.5" customHeight="1" x14ac:dyDescent="0.3">
      <c r="A362" s="1"/>
      <c r="B362" s="181"/>
      <c r="C362" s="181"/>
      <c r="D362" s="181"/>
      <c r="E362" s="182"/>
      <c r="F362" s="182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81"/>
      <c r="AJ362" s="181"/>
      <c r="AK362" s="181"/>
      <c r="AL362" s="181"/>
      <c r="AM362" s="181"/>
      <c r="AN362" s="181"/>
      <c r="AO362" s="181"/>
      <c r="AP362" s="181"/>
      <c r="AQ362" s="181"/>
      <c r="AR362" s="181"/>
      <c r="AS362" s="181"/>
      <c r="AT362" s="181"/>
      <c r="AU362" s="181"/>
      <c r="AV362" s="181"/>
      <c r="AW362" s="181"/>
    </row>
    <row r="363" spans="1:49" ht="13.5" customHeight="1" x14ac:dyDescent="0.3">
      <c r="A363" s="1"/>
      <c r="B363" s="181"/>
      <c r="C363" s="181"/>
      <c r="D363" s="181"/>
      <c r="E363" s="182"/>
      <c r="F363" s="182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81"/>
      <c r="AJ363" s="181"/>
      <c r="AK363" s="181"/>
      <c r="AL363" s="181"/>
      <c r="AM363" s="181"/>
      <c r="AN363" s="181"/>
      <c r="AO363" s="181"/>
      <c r="AP363" s="181"/>
      <c r="AQ363" s="181"/>
      <c r="AR363" s="181"/>
      <c r="AS363" s="181"/>
      <c r="AT363" s="181"/>
      <c r="AU363" s="181"/>
      <c r="AV363" s="181"/>
      <c r="AW363" s="181"/>
    </row>
    <row r="364" spans="1:49" ht="13.5" customHeight="1" x14ac:dyDescent="0.3">
      <c r="A364" s="1"/>
      <c r="B364" s="181"/>
      <c r="C364" s="181"/>
      <c r="D364" s="181"/>
      <c r="E364" s="182"/>
      <c r="F364" s="182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81"/>
      <c r="AJ364" s="181"/>
      <c r="AK364" s="181"/>
      <c r="AL364" s="181"/>
      <c r="AM364" s="181"/>
      <c r="AN364" s="181"/>
      <c r="AO364" s="181"/>
      <c r="AP364" s="181"/>
      <c r="AQ364" s="181"/>
      <c r="AR364" s="181"/>
      <c r="AS364" s="181"/>
      <c r="AT364" s="181"/>
      <c r="AU364" s="181"/>
      <c r="AV364" s="181"/>
      <c r="AW364" s="181"/>
    </row>
    <row r="365" spans="1:49" ht="13.5" customHeight="1" x14ac:dyDescent="0.3">
      <c r="A365" s="1"/>
      <c r="B365" s="181"/>
      <c r="C365" s="181"/>
      <c r="D365" s="181"/>
      <c r="E365" s="182"/>
      <c r="F365" s="182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81"/>
      <c r="AI365" s="181"/>
      <c r="AJ365" s="181"/>
      <c r="AK365" s="181"/>
      <c r="AL365" s="181"/>
      <c r="AM365" s="181"/>
      <c r="AN365" s="181"/>
      <c r="AO365" s="181"/>
      <c r="AP365" s="181"/>
      <c r="AQ365" s="181"/>
      <c r="AR365" s="181"/>
      <c r="AS365" s="181"/>
      <c r="AT365" s="181"/>
      <c r="AU365" s="181"/>
      <c r="AV365" s="181"/>
      <c r="AW365" s="181"/>
    </row>
    <row r="366" spans="1:49" ht="13.5" customHeight="1" x14ac:dyDescent="0.3">
      <c r="A366" s="1"/>
      <c r="B366" s="181"/>
      <c r="C366" s="181"/>
      <c r="D366" s="181"/>
      <c r="E366" s="182"/>
      <c r="F366" s="182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  <c r="AC366" s="181"/>
      <c r="AD366" s="181"/>
      <c r="AE366" s="181"/>
      <c r="AF366" s="181"/>
      <c r="AG366" s="181"/>
      <c r="AH366" s="181"/>
      <c r="AI366" s="181"/>
      <c r="AJ366" s="181"/>
      <c r="AK366" s="181"/>
      <c r="AL366" s="181"/>
      <c r="AM366" s="181"/>
      <c r="AN366" s="181"/>
      <c r="AO366" s="181"/>
      <c r="AP366" s="181"/>
      <c r="AQ366" s="181"/>
      <c r="AR366" s="181"/>
      <c r="AS366" s="181"/>
      <c r="AT366" s="181"/>
      <c r="AU366" s="181"/>
      <c r="AV366" s="181"/>
      <c r="AW366" s="181"/>
    </row>
    <row r="367" spans="1:49" ht="13.5" customHeight="1" x14ac:dyDescent="0.3">
      <c r="A367" s="1"/>
      <c r="B367" s="181"/>
      <c r="C367" s="181"/>
      <c r="D367" s="181"/>
      <c r="E367" s="182"/>
      <c r="F367" s="182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  <c r="AC367" s="181"/>
      <c r="AD367" s="181"/>
      <c r="AE367" s="181"/>
      <c r="AF367" s="181"/>
      <c r="AG367" s="181"/>
      <c r="AH367" s="181"/>
      <c r="AI367" s="181"/>
      <c r="AJ367" s="181"/>
      <c r="AK367" s="181"/>
      <c r="AL367" s="181"/>
      <c r="AM367" s="181"/>
      <c r="AN367" s="181"/>
      <c r="AO367" s="181"/>
      <c r="AP367" s="181"/>
      <c r="AQ367" s="181"/>
      <c r="AR367" s="181"/>
      <c r="AS367" s="181"/>
      <c r="AT367" s="181"/>
      <c r="AU367" s="181"/>
      <c r="AV367" s="181"/>
      <c r="AW367" s="181"/>
    </row>
    <row r="368" spans="1:49" ht="13.5" customHeight="1" x14ac:dyDescent="0.3">
      <c r="A368" s="1"/>
      <c r="B368" s="181"/>
      <c r="C368" s="181"/>
      <c r="D368" s="181"/>
      <c r="E368" s="182"/>
      <c r="F368" s="182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  <c r="AC368" s="181"/>
      <c r="AD368" s="181"/>
      <c r="AE368" s="181"/>
      <c r="AF368" s="181"/>
      <c r="AG368" s="181"/>
      <c r="AH368" s="181"/>
      <c r="AI368" s="181"/>
      <c r="AJ368" s="181"/>
      <c r="AK368" s="181"/>
      <c r="AL368" s="181"/>
      <c r="AM368" s="181"/>
      <c r="AN368" s="181"/>
      <c r="AO368" s="181"/>
      <c r="AP368" s="181"/>
      <c r="AQ368" s="181"/>
      <c r="AR368" s="181"/>
      <c r="AS368" s="181"/>
      <c r="AT368" s="181"/>
      <c r="AU368" s="181"/>
      <c r="AV368" s="181"/>
      <c r="AW368" s="181"/>
    </row>
    <row r="369" spans="1:49" ht="13.5" customHeight="1" x14ac:dyDescent="0.3">
      <c r="A369" s="1"/>
      <c r="B369" s="181"/>
      <c r="C369" s="181"/>
      <c r="D369" s="181"/>
      <c r="E369" s="182"/>
      <c r="F369" s="182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  <c r="AC369" s="181"/>
      <c r="AD369" s="181"/>
      <c r="AE369" s="181"/>
      <c r="AF369" s="181"/>
      <c r="AG369" s="181"/>
      <c r="AH369" s="181"/>
      <c r="AI369" s="181"/>
      <c r="AJ369" s="181"/>
      <c r="AK369" s="181"/>
      <c r="AL369" s="181"/>
      <c r="AM369" s="181"/>
      <c r="AN369" s="181"/>
      <c r="AO369" s="181"/>
      <c r="AP369" s="181"/>
      <c r="AQ369" s="181"/>
      <c r="AR369" s="181"/>
      <c r="AS369" s="181"/>
      <c r="AT369" s="181"/>
      <c r="AU369" s="181"/>
      <c r="AV369" s="181"/>
      <c r="AW369" s="181"/>
    </row>
    <row r="370" spans="1:49" ht="13.5" customHeight="1" x14ac:dyDescent="0.3">
      <c r="A370" s="1"/>
      <c r="B370" s="181"/>
      <c r="C370" s="181"/>
      <c r="D370" s="181"/>
      <c r="E370" s="182"/>
      <c r="F370" s="182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  <c r="AC370" s="181"/>
      <c r="AD370" s="181"/>
      <c r="AE370" s="181"/>
      <c r="AF370" s="181"/>
      <c r="AG370" s="181"/>
      <c r="AH370" s="181"/>
      <c r="AI370" s="181"/>
      <c r="AJ370" s="181"/>
      <c r="AK370" s="181"/>
      <c r="AL370" s="181"/>
      <c r="AM370" s="181"/>
      <c r="AN370" s="181"/>
      <c r="AO370" s="181"/>
      <c r="AP370" s="181"/>
      <c r="AQ370" s="181"/>
      <c r="AR370" s="181"/>
      <c r="AS370" s="181"/>
      <c r="AT370" s="181"/>
      <c r="AU370" s="181"/>
      <c r="AV370" s="181"/>
      <c r="AW370" s="181"/>
    </row>
    <row r="371" spans="1:49" ht="13.5" customHeight="1" x14ac:dyDescent="0.3">
      <c r="A371" s="1"/>
      <c r="B371" s="181"/>
      <c r="C371" s="181"/>
      <c r="D371" s="181"/>
      <c r="E371" s="182"/>
      <c r="F371" s="182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  <c r="AC371" s="181"/>
      <c r="AD371" s="181"/>
      <c r="AE371" s="181"/>
      <c r="AF371" s="181"/>
      <c r="AG371" s="181"/>
      <c r="AH371" s="181"/>
      <c r="AI371" s="181"/>
      <c r="AJ371" s="181"/>
      <c r="AK371" s="181"/>
      <c r="AL371" s="181"/>
      <c r="AM371" s="181"/>
      <c r="AN371" s="181"/>
      <c r="AO371" s="181"/>
      <c r="AP371" s="181"/>
      <c r="AQ371" s="181"/>
      <c r="AR371" s="181"/>
      <c r="AS371" s="181"/>
      <c r="AT371" s="181"/>
      <c r="AU371" s="181"/>
      <c r="AV371" s="181"/>
      <c r="AW371" s="181"/>
    </row>
    <row r="372" spans="1:49" ht="13.5" customHeight="1" x14ac:dyDescent="0.3">
      <c r="A372" s="1"/>
      <c r="B372" s="181"/>
      <c r="C372" s="181"/>
      <c r="D372" s="181"/>
      <c r="E372" s="182"/>
      <c r="F372" s="182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  <c r="AC372" s="181"/>
      <c r="AD372" s="181"/>
      <c r="AE372" s="181"/>
      <c r="AF372" s="181"/>
      <c r="AG372" s="181"/>
      <c r="AH372" s="181"/>
      <c r="AI372" s="181"/>
      <c r="AJ372" s="181"/>
      <c r="AK372" s="181"/>
      <c r="AL372" s="181"/>
      <c r="AM372" s="181"/>
      <c r="AN372" s="181"/>
      <c r="AO372" s="181"/>
      <c r="AP372" s="181"/>
      <c r="AQ372" s="181"/>
      <c r="AR372" s="181"/>
      <c r="AS372" s="181"/>
      <c r="AT372" s="181"/>
      <c r="AU372" s="181"/>
      <c r="AV372" s="181"/>
      <c r="AW372" s="181"/>
    </row>
    <row r="373" spans="1:49" ht="13.5" customHeight="1" x14ac:dyDescent="0.3">
      <c r="A373" s="1"/>
      <c r="B373" s="181"/>
      <c r="C373" s="181"/>
      <c r="D373" s="181"/>
      <c r="E373" s="182"/>
      <c r="F373" s="182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81"/>
      <c r="AJ373" s="181"/>
      <c r="AK373" s="181"/>
      <c r="AL373" s="181"/>
      <c r="AM373" s="181"/>
      <c r="AN373" s="181"/>
      <c r="AO373" s="181"/>
      <c r="AP373" s="181"/>
      <c r="AQ373" s="181"/>
      <c r="AR373" s="181"/>
      <c r="AS373" s="181"/>
      <c r="AT373" s="181"/>
      <c r="AU373" s="181"/>
      <c r="AV373" s="181"/>
      <c r="AW373" s="181"/>
    </row>
    <row r="374" spans="1:49" ht="13.5" customHeight="1" x14ac:dyDescent="0.3">
      <c r="A374" s="1"/>
      <c r="B374" s="181"/>
      <c r="C374" s="181"/>
      <c r="D374" s="181"/>
      <c r="E374" s="182"/>
      <c r="F374" s="182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81"/>
      <c r="AJ374" s="181"/>
      <c r="AK374" s="181"/>
      <c r="AL374" s="181"/>
      <c r="AM374" s="181"/>
      <c r="AN374" s="181"/>
      <c r="AO374" s="181"/>
      <c r="AP374" s="181"/>
      <c r="AQ374" s="181"/>
      <c r="AR374" s="181"/>
      <c r="AS374" s="181"/>
      <c r="AT374" s="181"/>
      <c r="AU374" s="181"/>
      <c r="AV374" s="181"/>
      <c r="AW374" s="181"/>
    </row>
    <row r="375" spans="1:49" ht="13.5" customHeight="1" x14ac:dyDescent="0.3">
      <c r="A375" s="1"/>
      <c r="B375" s="181"/>
      <c r="C375" s="181"/>
      <c r="D375" s="181"/>
      <c r="E375" s="182"/>
      <c r="F375" s="182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81"/>
      <c r="AJ375" s="181"/>
      <c r="AK375" s="181"/>
      <c r="AL375" s="181"/>
      <c r="AM375" s="181"/>
      <c r="AN375" s="181"/>
      <c r="AO375" s="181"/>
      <c r="AP375" s="181"/>
      <c r="AQ375" s="181"/>
      <c r="AR375" s="181"/>
      <c r="AS375" s="181"/>
      <c r="AT375" s="181"/>
      <c r="AU375" s="181"/>
      <c r="AV375" s="181"/>
      <c r="AW375" s="181"/>
    </row>
    <row r="376" spans="1:49" ht="13.5" customHeight="1" x14ac:dyDescent="0.3">
      <c r="A376" s="1"/>
      <c r="B376" s="181"/>
      <c r="C376" s="181"/>
      <c r="D376" s="181"/>
      <c r="E376" s="182"/>
      <c r="F376" s="182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81"/>
      <c r="AJ376" s="181"/>
      <c r="AK376" s="181"/>
      <c r="AL376" s="181"/>
      <c r="AM376" s="181"/>
      <c r="AN376" s="181"/>
      <c r="AO376" s="181"/>
      <c r="AP376" s="181"/>
      <c r="AQ376" s="181"/>
      <c r="AR376" s="181"/>
      <c r="AS376" s="181"/>
      <c r="AT376" s="181"/>
      <c r="AU376" s="181"/>
      <c r="AV376" s="181"/>
      <c r="AW376" s="181"/>
    </row>
    <row r="377" spans="1:49" ht="13.5" customHeight="1" x14ac:dyDescent="0.3">
      <c r="A377" s="1"/>
      <c r="B377" s="181"/>
      <c r="C377" s="181"/>
      <c r="D377" s="181"/>
      <c r="E377" s="182"/>
      <c r="F377" s="182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81"/>
      <c r="AJ377" s="181"/>
      <c r="AK377" s="181"/>
      <c r="AL377" s="181"/>
      <c r="AM377" s="181"/>
      <c r="AN377" s="181"/>
      <c r="AO377" s="181"/>
      <c r="AP377" s="181"/>
      <c r="AQ377" s="181"/>
      <c r="AR377" s="181"/>
      <c r="AS377" s="181"/>
      <c r="AT377" s="181"/>
      <c r="AU377" s="181"/>
      <c r="AV377" s="181"/>
      <c r="AW377" s="181"/>
    </row>
    <row r="378" spans="1:49" ht="13.5" customHeight="1" x14ac:dyDescent="0.3">
      <c r="A378" s="1"/>
      <c r="B378" s="181"/>
      <c r="C378" s="181"/>
      <c r="D378" s="181"/>
      <c r="E378" s="182"/>
      <c r="F378" s="182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81"/>
      <c r="AJ378" s="181"/>
      <c r="AK378" s="181"/>
      <c r="AL378" s="181"/>
      <c r="AM378" s="181"/>
      <c r="AN378" s="181"/>
      <c r="AO378" s="181"/>
      <c r="AP378" s="181"/>
      <c r="AQ378" s="181"/>
      <c r="AR378" s="181"/>
      <c r="AS378" s="181"/>
      <c r="AT378" s="181"/>
      <c r="AU378" s="181"/>
      <c r="AV378" s="181"/>
      <c r="AW378" s="181"/>
    </row>
    <row r="379" spans="1:49" ht="13.5" customHeight="1" x14ac:dyDescent="0.3">
      <c r="A379" s="1"/>
      <c r="B379" s="181"/>
      <c r="C379" s="181"/>
      <c r="D379" s="181"/>
      <c r="E379" s="182"/>
      <c r="F379" s="182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81"/>
      <c r="AJ379" s="181"/>
      <c r="AK379" s="181"/>
      <c r="AL379" s="181"/>
      <c r="AM379" s="181"/>
      <c r="AN379" s="181"/>
      <c r="AO379" s="181"/>
      <c r="AP379" s="181"/>
      <c r="AQ379" s="181"/>
      <c r="AR379" s="181"/>
      <c r="AS379" s="181"/>
      <c r="AT379" s="181"/>
      <c r="AU379" s="181"/>
      <c r="AV379" s="181"/>
      <c r="AW379" s="181"/>
    </row>
    <row r="380" spans="1:49" ht="13.5" customHeight="1" x14ac:dyDescent="0.3">
      <c r="A380" s="1"/>
      <c r="B380" s="181"/>
      <c r="C380" s="181"/>
      <c r="D380" s="181"/>
      <c r="E380" s="182"/>
      <c r="F380" s="182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81"/>
      <c r="AJ380" s="181"/>
      <c r="AK380" s="181"/>
      <c r="AL380" s="181"/>
      <c r="AM380" s="181"/>
      <c r="AN380" s="181"/>
      <c r="AO380" s="181"/>
      <c r="AP380" s="181"/>
      <c r="AQ380" s="181"/>
      <c r="AR380" s="181"/>
      <c r="AS380" s="181"/>
      <c r="AT380" s="181"/>
      <c r="AU380" s="181"/>
      <c r="AV380" s="181"/>
      <c r="AW380" s="181"/>
    </row>
    <row r="381" spans="1:49" ht="13.5" customHeight="1" x14ac:dyDescent="0.3">
      <c r="A381" s="1"/>
      <c r="B381" s="181"/>
      <c r="C381" s="181"/>
      <c r="D381" s="181"/>
      <c r="E381" s="182"/>
      <c r="F381" s="182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81"/>
      <c r="AJ381" s="181"/>
      <c r="AK381" s="181"/>
      <c r="AL381" s="181"/>
      <c r="AM381" s="181"/>
      <c r="AN381" s="181"/>
      <c r="AO381" s="181"/>
      <c r="AP381" s="181"/>
      <c r="AQ381" s="181"/>
      <c r="AR381" s="181"/>
      <c r="AS381" s="181"/>
      <c r="AT381" s="181"/>
      <c r="AU381" s="181"/>
      <c r="AV381" s="181"/>
      <c r="AW381" s="181"/>
    </row>
    <row r="382" spans="1:49" ht="13.5" customHeight="1" x14ac:dyDescent="0.3">
      <c r="A382" s="1"/>
      <c r="B382" s="181"/>
      <c r="C382" s="181"/>
      <c r="D382" s="181"/>
      <c r="E382" s="182"/>
      <c r="F382" s="182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81"/>
      <c r="AJ382" s="181"/>
      <c r="AK382" s="181"/>
      <c r="AL382" s="181"/>
      <c r="AM382" s="181"/>
      <c r="AN382" s="181"/>
      <c r="AO382" s="181"/>
      <c r="AP382" s="181"/>
      <c r="AQ382" s="181"/>
      <c r="AR382" s="181"/>
      <c r="AS382" s="181"/>
      <c r="AT382" s="181"/>
      <c r="AU382" s="181"/>
      <c r="AV382" s="181"/>
      <c r="AW382" s="181"/>
    </row>
    <row r="383" spans="1:49" ht="13.5" customHeight="1" x14ac:dyDescent="0.3">
      <c r="A383" s="1"/>
      <c r="B383" s="181"/>
      <c r="C383" s="181"/>
      <c r="D383" s="181"/>
      <c r="E383" s="182"/>
      <c r="F383" s="182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81"/>
      <c r="AJ383" s="181"/>
      <c r="AK383" s="181"/>
      <c r="AL383" s="181"/>
      <c r="AM383" s="181"/>
      <c r="AN383" s="181"/>
      <c r="AO383" s="181"/>
      <c r="AP383" s="181"/>
      <c r="AQ383" s="181"/>
      <c r="AR383" s="181"/>
      <c r="AS383" s="181"/>
      <c r="AT383" s="181"/>
      <c r="AU383" s="181"/>
      <c r="AV383" s="181"/>
      <c r="AW383" s="181"/>
    </row>
    <row r="384" spans="1:49" ht="13.5" customHeight="1" x14ac:dyDescent="0.3">
      <c r="A384" s="1"/>
      <c r="B384" s="181"/>
      <c r="C384" s="181"/>
      <c r="D384" s="181"/>
      <c r="E384" s="182"/>
      <c r="F384" s="182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81"/>
      <c r="AJ384" s="181"/>
      <c r="AK384" s="181"/>
      <c r="AL384" s="181"/>
      <c r="AM384" s="181"/>
      <c r="AN384" s="181"/>
      <c r="AO384" s="181"/>
      <c r="AP384" s="181"/>
      <c r="AQ384" s="181"/>
      <c r="AR384" s="181"/>
      <c r="AS384" s="181"/>
      <c r="AT384" s="181"/>
      <c r="AU384" s="181"/>
      <c r="AV384" s="181"/>
      <c r="AW384" s="181"/>
    </row>
    <row r="385" spans="1:49" ht="13.5" customHeight="1" x14ac:dyDescent="0.3">
      <c r="A385" s="1"/>
      <c r="B385" s="181"/>
      <c r="C385" s="181"/>
      <c r="D385" s="181"/>
      <c r="E385" s="182"/>
      <c r="F385" s="182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81"/>
      <c r="AJ385" s="181"/>
      <c r="AK385" s="181"/>
      <c r="AL385" s="181"/>
      <c r="AM385" s="181"/>
      <c r="AN385" s="181"/>
      <c r="AO385" s="181"/>
      <c r="AP385" s="181"/>
      <c r="AQ385" s="181"/>
      <c r="AR385" s="181"/>
      <c r="AS385" s="181"/>
      <c r="AT385" s="181"/>
      <c r="AU385" s="181"/>
      <c r="AV385" s="181"/>
      <c r="AW385" s="181"/>
    </row>
    <row r="386" spans="1:49" ht="13.5" customHeight="1" x14ac:dyDescent="0.3">
      <c r="A386" s="1"/>
      <c r="B386" s="181"/>
      <c r="C386" s="181"/>
      <c r="D386" s="181"/>
      <c r="E386" s="182"/>
      <c r="F386" s="182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81"/>
      <c r="AJ386" s="181"/>
      <c r="AK386" s="181"/>
      <c r="AL386" s="181"/>
      <c r="AM386" s="181"/>
      <c r="AN386" s="181"/>
      <c r="AO386" s="181"/>
      <c r="AP386" s="181"/>
      <c r="AQ386" s="181"/>
      <c r="AR386" s="181"/>
      <c r="AS386" s="181"/>
      <c r="AT386" s="181"/>
      <c r="AU386" s="181"/>
      <c r="AV386" s="181"/>
      <c r="AW386" s="181"/>
    </row>
    <row r="387" spans="1:49" ht="13.5" customHeight="1" x14ac:dyDescent="0.3">
      <c r="A387" s="1"/>
      <c r="B387" s="181"/>
      <c r="C387" s="181"/>
      <c r="D387" s="181"/>
      <c r="E387" s="182"/>
      <c r="F387" s="182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81"/>
      <c r="AJ387" s="181"/>
      <c r="AK387" s="181"/>
      <c r="AL387" s="181"/>
      <c r="AM387" s="181"/>
      <c r="AN387" s="181"/>
      <c r="AO387" s="181"/>
      <c r="AP387" s="181"/>
      <c r="AQ387" s="181"/>
      <c r="AR387" s="181"/>
      <c r="AS387" s="181"/>
      <c r="AT387" s="181"/>
      <c r="AU387" s="181"/>
      <c r="AV387" s="181"/>
      <c r="AW387" s="181"/>
    </row>
    <row r="388" spans="1:49" ht="13.5" customHeight="1" x14ac:dyDescent="0.3">
      <c r="A388" s="1"/>
      <c r="B388" s="181"/>
      <c r="C388" s="181"/>
      <c r="D388" s="181"/>
      <c r="E388" s="182"/>
      <c r="F388" s="182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81"/>
      <c r="AI388" s="181"/>
      <c r="AJ388" s="181"/>
      <c r="AK388" s="181"/>
      <c r="AL388" s="181"/>
      <c r="AM388" s="181"/>
      <c r="AN388" s="181"/>
      <c r="AO388" s="181"/>
      <c r="AP388" s="181"/>
      <c r="AQ388" s="181"/>
      <c r="AR388" s="181"/>
      <c r="AS388" s="181"/>
      <c r="AT388" s="181"/>
      <c r="AU388" s="181"/>
      <c r="AV388" s="181"/>
      <c r="AW388" s="181"/>
    </row>
    <row r="389" spans="1:49" ht="13.5" customHeight="1" x14ac:dyDescent="0.3">
      <c r="A389" s="1"/>
      <c r="B389" s="181"/>
      <c r="C389" s="181"/>
      <c r="D389" s="181"/>
      <c r="E389" s="182"/>
      <c r="F389" s="182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  <c r="AC389" s="181"/>
      <c r="AD389" s="181"/>
      <c r="AE389" s="181"/>
      <c r="AF389" s="181"/>
      <c r="AG389" s="181"/>
      <c r="AH389" s="181"/>
      <c r="AI389" s="181"/>
      <c r="AJ389" s="181"/>
      <c r="AK389" s="181"/>
      <c r="AL389" s="181"/>
      <c r="AM389" s="181"/>
      <c r="AN389" s="181"/>
      <c r="AO389" s="181"/>
      <c r="AP389" s="181"/>
      <c r="AQ389" s="181"/>
      <c r="AR389" s="181"/>
      <c r="AS389" s="181"/>
      <c r="AT389" s="181"/>
      <c r="AU389" s="181"/>
      <c r="AV389" s="181"/>
      <c r="AW389" s="181"/>
    </row>
    <row r="390" spans="1:49" ht="13.5" customHeight="1" x14ac:dyDescent="0.3">
      <c r="A390" s="1"/>
      <c r="B390" s="181"/>
      <c r="C390" s="181"/>
      <c r="D390" s="181"/>
      <c r="E390" s="182"/>
      <c r="F390" s="182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  <c r="AC390" s="181"/>
      <c r="AD390" s="181"/>
      <c r="AE390" s="181"/>
      <c r="AF390" s="181"/>
      <c r="AG390" s="181"/>
      <c r="AH390" s="181"/>
      <c r="AI390" s="181"/>
      <c r="AJ390" s="181"/>
      <c r="AK390" s="181"/>
      <c r="AL390" s="181"/>
      <c r="AM390" s="181"/>
      <c r="AN390" s="181"/>
      <c r="AO390" s="181"/>
      <c r="AP390" s="181"/>
      <c r="AQ390" s="181"/>
      <c r="AR390" s="181"/>
      <c r="AS390" s="181"/>
      <c r="AT390" s="181"/>
      <c r="AU390" s="181"/>
      <c r="AV390" s="181"/>
      <c r="AW390" s="181"/>
    </row>
    <row r="391" spans="1:49" ht="13.5" customHeight="1" x14ac:dyDescent="0.3">
      <c r="A391" s="1"/>
      <c r="B391" s="181"/>
      <c r="C391" s="181"/>
      <c r="D391" s="181"/>
      <c r="E391" s="182"/>
      <c r="F391" s="182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  <c r="AC391" s="181"/>
      <c r="AD391" s="181"/>
      <c r="AE391" s="181"/>
      <c r="AF391" s="181"/>
      <c r="AG391" s="181"/>
      <c r="AH391" s="181"/>
      <c r="AI391" s="181"/>
      <c r="AJ391" s="181"/>
      <c r="AK391" s="181"/>
      <c r="AL391" s="181"/>
      <c r="AM391" s="181"/>
      <c r="AN391" s="181"/>
      <c r="AO391" s="181"/>
      <c r="AP391" s="181"/>
      <c r="AQ391" s="181"/>
      <c r="AR391" s="181"/>
      <c r="AS391" s="181"/>
      <c r="AT391" s="181"/>
      <c r="AU391" s="181"/>
      <c r="AV391" s="181"/>
      <c r="AW391" s="181"/>
    </row>
    <row r="392" spans="1:49" ht="13.5" customHeight="1" x14ac:dyDescent="0.3">
      <c r="A392" s="1"/>
      <c r="B392" s="181"/>
      <c r="C392" s="181"/>
      <c r="D392" s="181"/>
      <c r="E392" s="182"/>
      <c r="F392" s="182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  <c r="AC392" s="181"/>
      <c r="AD392" s="181"/>
      <c r="AE392" s="181"/>
      <c r="AF392" s="181"/>
      <c r="AG392" s="181"/>
      <c r="AH392" s="181"/>
      <c r="AI392" s="181"/>
      <c r="AJ392" s="181"/>
      <c r="AK392" s="181"/>
      <c r="AL392" s="181"/>
      <c r="AM392" s="181"/>
      <c r="AN392" s="181"/>
      <c r="AO392" s="181"/>
      <c r="AP392" s="181"/>
      <c r="AQ392" s="181"/>
      <c r="AR392" s="181"/>
      <c r="AS392" s="181"/>
      <c r="AT392" s="181"/>
      <c r="AU392" s="181"/>
      <c r="AV392" s="181"/>
      <c r="AW392" s="181"/>
    </row>
    <row r="393" spans="1:49" ht="13.5" customHeight="1" x14ac:dyDescent="0.3">
      <c r="A393" s="1"/>
      <c r="B393" s="181"/>
      <c r="C393" s="181"/>
      <c r="D393" s="181"/>
      <c r="E393" s="182"/>
      <c r="F393" s="182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  <c r="AC393" s="181"/>
      <c r="AD393" s="181"/>
      <c r="AE393" s="181"/>
      <c r="AF393" s="181"/>
      <c r="AG393" s="181"/>
      <c r="AH393" s="181"/>
      <c r="AI393" s="181"/>
      <c r="AJ393" s="181"/>
      <c r="AK393" s="181"/>
      <c r="AL393" s="181"/>
      <c r="AM393" s="181"/>
      <c r="AN393" s="181"/>
      <c r="AO393" s="181"/>
      <c r="AP393" s="181"/>
      <c r="AQ393" s="181"/>
      <c r="AR393" s="181"/>
      <c r="AS393" s="181"/>
      <c r="AT393" s="181"/>
      <c r="AU393" s="181"/>
      <c r="AV393" s="181"/>
      <c r="AW393" s="181"/>
    </row>
    <row r="394" spans="1:49" ht="13.5" customHeight="1" x14ac:dyDescent="0.3">
      <c r="A394" s="1"/>
      <c r="B394" s="181"/>
      <c r="C394" s="181"/>
      <c r="D394" s="181"/>
      <c r="E394" s="182"/>
      <c r="F394" s="182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  <c r="AC394" s="181"/>
      <c r="AD394" s="181"/>
      <c r="AE394" s="181"/>
      <c r="AF394" s="181"/>
      <c r="AG394" s="181"/>
      <c r="AH394" s="181"/>
      <c r="AI394" s="181"/>
      <c r="AJ394" s="181"/>
      <c r="AK394" s="181"/>
      <c r="AL394" s="181"/>
      <c r="AM394" s="181"/>
      <c r="AN394" s="181"/>
      <c r="AO394" s="181"/>
      <c r="AP394" s="181"/>
      <c r="AQ394" s="181"/>
      <c r="AR394" s="181"/>
      <c r="AS394" s="181"/>
      <c r="AT394" s="181"/>
      <c r="AU394" s="181"/>
      <c r="AV394" s="181"/>
      <c r="AW394" s="181"/>
    </row>
    <row r="395" spans="1:49" ht="13.5" customHeight="1" x14ac:dyDescent="0.3">
      <c r="A395" s="1"/>
      <c r="B395" s="181"/>
      <c r="C395" s="181"/>
      <c r="D395" s="181"/>
      <c r="E395" s="182"/>
      <c r="F395" s="182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  <c r="AC395" s="181"/>
      <c r="AD395" s="181"/>
      <c r="AE395" s="181"/>
      <c r="AF395" s="181"/>
      <c r="AG395" s="181"/>
      <c r="AH395" s="181"/>
      <c r="AI395" s="181"/>
      <c r="AJ395" s="181"/>
      <c r="AK395" s="181"/>
      <c r="AL395" s="181"/>
      <c r="AM395" s="181"/>
      <c r="AN395" s="181"/>
      <c r="AO395" s="181"/>
      <c r="AP395" s="181"/>
      <c r="AQ395" s="181"/>
      <c r="AR395" s="181"/>
      <c r="AS395" s="181"/>
      <c r="AT395" s="181"/>
      <c r="AU395" s="181"/>
      <c r="AV395" s="181"/>
      <c r="AW395" s="181"/>
    </row>
    <row r="396" spans="1:49" ht="13.5" customHeight="1" x14ac:dyDescent="0.3">
      <c r="A396" s="1"/>
      <c r="B396" s="181"/>
      <c r="C396" s="181"/>
      <c r="D396" s="181"/>
      <c r="E396" s="182"/>
      <c r="F396" s="182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81"/>
      <c r="AJ396" s="181"/>
      <c r="AK396" s="181"/>
      <c r="AL396" s="181"/>
      <c r="AM396" s="181"/>
      <c r="AN396" s="181"/>
      <c r="AO396" s="181"/>
      <c r="AP396" s="181"/>
      <c r="AQ396" s="181"/>
      <c r="AR396" s="181"/>
      <c r="AS396" s="181"/>
      <c r="AT396" s="181"/>
      <c r="AU396" s="181"/>
      <c r="AV396" s="181"/>
      <c r="AW396" s="181"/>
    </row>
    <row r="397" spans="1:49" ht="13.5" customHeight="1" x14ac:dyDescent="0.3">
      <c r="A397" s="1"/>
      <c r="B397" s="181"/>
      <c r="C397" s="181"/>
      <c r="D397" s="181"/>
      <c r="E397" s="182"/>
      <c r="F397" s="182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81"/>
      <c r="AJ397" s="181"/>
      <c r="AK397" s="181"/>
      <c r="AL397" s="181"/>
      <c r="AM397" s="181"/>
      <c r="AN397" s="181"/>
      <c r="AO397" s="181"/>
      <c r="AP397" s="181"/>
      <c r="AQ397" s="181"/>
      <c r="AR397" s="181"/>
      <c r="AS397" s="181"/>
      <c r="AT397" s="181"/>
      <c r="AU397" s="181"/>
      <c r="AV397" s="181"/>
      <c r="AW397" s="181"/>
    </row>
    <row r="398" spans="1:49" ht="13.5" customHeight="1" x14ac:dyDescent="0.3">
      <c r="A398" s="1"/>
      <c r="B398" s="181"/>
      <c r="C398" s="181"/>
      <c r="D398" s="181"/>
      <c r="E398" s="182"/>
      <c r="F398" s="182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81"/>
      <c r="AJ398" s="181"/>
      <c r="AK398" s="181"/>
      <c r="AL398" s="181"/>
      <c r="AM398" s="181"/>
      <c r="AN398" s="181"/>
      <c r="AO398" s="181"/>
      <c r="AP398" s="181"/>
      <c r="AQ398" s="181"/>
      <c r="AR398" s="181"/>
      <c r="AS398" s="181"/>
      <c r="AT398" s="181"/>
      <c r="AU398" s="181"/>
      <c r="AV398" s="181"/>
      <c r="AW398" s="181"/>
    </row>
    <row r="399" spans="1:49" ht="13.5" customHeight="1" x14ac:dyDescent="0.3">
      <c r="A399" s="1"/>
      <c r="B399" s="181"/>
      <c r="C399" s="181"/>
      <c r="D399" s="181"/>
      <c r="E399" s="182"/>
      <c r="F399" s="182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81"/>
      <c r="AJ399" s="181"/>
      <c r="AK399" s="181"/>
      <c r="AL399" s="181"/>
      <c r="AM399" s="181"/>
      <c r="AN399" s="181"/>
      <c r="AO399" s="181"/>
      <c r="AP399" s="181"/>
      <c r="AQ399" s="181"/>
      <c r="AR399" s="181"/>
      <c r="AS399" s="181"/>
      <c r="AT399" s="181"/>
      <c r="AU399" s="181"/>
      <c r="AV399" s="181"/>
      <c r="AW399" s="181"/>
    </row>
    <row r="400" spans="1:49" ht="13.5" customHeight="1" x14ac:dyDescent="0.3">
      <c r="A400" s="1"/>
      <c r="B400" s="181"/>
      <c r="C400" s="181"/>
      <c r="D400" s="181"/>
      <c r="E400" s="182"/>
      <c r="F400" s="182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81"/>
      <c r="AJ400" s="181"/>
      <c r="AK400" s="181"/>
      <c r="AL400" s="181"/>
      <c r="AM400" s="181"/>
      <c r="AN400" s="181"/>
      <c r="AO400" s="181"/>
      <c r="AP400" s="181"/>
      <c r="AQ400" s="181"/>
      <c r="AR400" s="181"/>
      <c r="AS400" s="181"/>
      <c r="AT400" s="181"/>
      <c r="AU400" s="181"/>
      <c r="AV400" s="181"/>
      <c r="AW400" s="181"/>
    </row>
    <row r="401" spans="1:49" ht="13.5" customHeight="1" x14ac:dyDescent="0.3">
      <c r="A401" s="1"/>
      <c r="B401" s="181"/>
      <c r="C401" s="181"/>
      <c r="D401" s="181"/>
      <c r="E401" s="182"/>
      <c r="F401" s="182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81"/>
      <c r="AJ401" s="181"/>
      <c r="AK401" s="181"/>
      <c r="AL401" s="181"/>
      <c r="AM401" s="181"/>
      <c r="AN401" s="181"/>
      <c r="AO401" s="181"/>
      <c r="AP401" s="181"/>
      <c r="AQ401" s="181"/>
      <c r="AR401" s="181"/>
      <c r="AS401" s="181"/>
      <c r="AT401" s="181"/>
      <c r="AU401" s="181"/>
      <c r="AV401" s="181"/>
      <c r="AW401" s="181"/>
    </row>
    <row r="402" spans="1:49" ht="13.5" customHeight="1" x14ac:dyDescent="0.3">
      <c r="A402" s="1"/>
      <c r="B402" s="181"/>
      <c r="C402" s="181"/>
      <c r="D402" s="181"/>
      <c r="E402" s="182"/>
      <c r="F402" s="182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81"/>
      <c r="AJ402" s="181"/>
      <c r="AK402" s="181"/>
      <c r="AL402" s="181"/>
      <c r="AM402" s="181"/>
      <c r="AN402" s="181"/>
      <c r="AO402" s="181"/>
      <c r="AP402" s="181"/>
      <c r="AQ402" s="181"/>
      <c r="AR402" s="181"/>
      <c r="AS402" s="181"/>
      <c r="AT402" s="181"/>
      <c r="AU402" s="181"/>
      <c r="AV402" s="181"/>
      <c r="AW402" s="181"/>
    </row>
    <row r="403" spans="1:49" ht="13.5" customHeight="1" x14ac:dyDescent="0.3">
      <c r="A403" s="1"/>
      <c r="B403" s="181"/>
      <c r="C403" s="181"/>
      <c r="D403" s="181"/>
      <c r="E403" s="182"/>
      <c r="F403" s="182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81"/>
      <c r="AJ403" s="181"/>
      <c r="AK403" s="181"/>
      <c r="AL403" s="181"/>
      <c r="AM403" s="181"/>
      <c r="AN403" s="181"/>
      <c r="AO403" s="181"/>
      <c r="AP403" s="181"/>
      <c r="AQ403" s="181"/>
      <c r="AR403" s="181"/>
      <c r="AS403" s="181"/>
      <c r="AT403" s="181"/>
      <c r="AU403" s="181"/>
      <c r="AV403" s="181"/>
      <c r="AW403" s="181"/>
    </row>
    <row r="404" spans="1:49" ht="13.5" customHeight="1" x14ac:dyDescent="0.3">
      <c r="A404" s="1"/>
      <c r="B404" s="181"/>
      <c r="C404" s="181"/>
      <c r="D404" s="181"/>
      <c r="E404" s="182"/>
      <c r="F404" s="182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81"/>
      <c r="AJ404" s="181"/>
      <c r="AK404" s="181"/>
      <c r="AL404" s="181"/>
      <c r="AM404" s="181"/>
      <c r="AN404" s="181"/>
      <c r="AO404" s="181"/>
      <c r="AP404" s="181"/>
      <c r="AQ404" s="181"/>
      <c r="AR404" s="181"/>
      <c r="AS404" s="181"/>
      <c r="AT404" s="181"/>
      <c r="AU404" s="181"/>
      <c r="AV404" s="181"/>
      <c r="AW404" s="181"/>
    </row>
    <row r="405" spans="1:49" ht="13.5" customHeight="1" x14ac:dyDescent="0.3">
      <c r="A405" s="1"/>
      <c r="B405" s="181"/>
      <c r="C405" s="181"/>
      <c r="D405" s="181"/>
      <c r="E405" s="182"/>
      <c r="F405" s="182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81"/>
      <c r="AJ405" s="181"/>
      <c r="AK405" s="181"/>
      <c r="AL405" s="181"/>
      <c r="AM405" s="181"/>
      <c r="AN405" s="181"/>
      <c r="AO405" s="181"/>
      <c r="AP405" s="181"/>
      <c r="AQ405" s="181"/>
      <c r="AR405" s="181"/>
      <c r="AS405" s="181"/>
      <c r="AT405" s="181"/>
      <c r="AU405" s="181"/>
      <c r="AV405" s="181"/>
      <c r="AW405" s="181"/>
    </row>
    <row r="406" spans="1:49" ht="13.5" customHeight="1" x14ac:dyDescent="0.3">
      <c r="A406" s="1"/>
      <c r="B406" s="181"/>
      <c r="C406" s="181"/>
      <c r="D406" s="181"/>
      <c r="E406" s="182"/>
      <c r="F406" s="182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81"/>
      <c r="AJ406" s="181"/>
      <c r="AK406" s="181"/>
      <c r="AL406" s="181"/>
      <c r="AM406" s="181"/>
      <c r="AN406" s="181"/>
      <c r="AO406" s="181"/>
      <c r="AP406" s="181"/>
      <c r="AQ406" s="181"/>
      <c r="AR406" s="181"/>
      <c r="AS406" s="181"/>
      <c r="AT406" s="181"/>
      <c r="AU406" s="181"/>
      <c r="AV406" s="181"/>
      <c r="AW406" s="181"/>
    </row>
    <row r="407" spans="1:49" ht="13.5" customHeight="1" x14ac:dyDescent="0.3">
      <c r="A407" s="1"/>
      <c r="B407" s="181"/>
      <c r="C407" s="181"/>
      <c r="D407" s="181"/>
      <c r="E407" s="182"/>
      <c r="F407" s="182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81"/>
      <c r="AJ407" s="181"/>
      <c r="AK407" s="181"/>
      <c r="AL407" s="181"/>
      <c r="AM407" s="181"/>
      <c r="AN407" s="181"/>
      <c r="AO407" s="181"/>
      <c r="AP407" s="181"/>
      <c r="AQ407" s="181"/>
      <c r="AR407" s="181"/>
      <c r="AS407" s="181"/>
      <c r="AT407" s="181"/>
      <c r="AU407" s="181"/>
      <c r="AV407" s="181"/>
      <c r="AW407" s="181"/>
    </row>
    <row r="408" spans="1:49" ht="13.5" customHeight="1" x14ac:dyDescent="0.3">
      <c r="A408" s="1"/>
      <c r="B408" s="181"/>
      <c r="C408" s="181"/>
      <c r="D408" s="181"/>
      <c r="E408" s="182"/>
      <c r="F408" s="182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81"/>
      <c r="AJ408" s="181"/>
      <c r="AK408" s="181"/>
      <c r="AL408" s="181"/>
      <c r="AM408" s="181"/>
      <c r="AN408" s="181"/>
      <c r="AO408" s="181"/>
      <c r="AP408" s="181"/>
      <c r="AQ408" s="181"/>
      <c r="AR408" s="181"/>
      <c r="AS408" s="181"/>
      <c r="AT408" s="181"/>
      <c r="AU408" s="181"/>
      <c r="AV408" s="181"/>
      <c r="AW408" s="181"/>
    </row>
    <row r="409" spans="1:49" ht="13.5" customHeight="1" x14ac:dyDescent="0.3">
      <c r="A409" s="1"/>
      <c r="B409" s="181"/>
      <c r="C409" s="181"/>
      <c r="D409" s="181"/>
      <c r="E409" s="182"/>
      <c r="F409" s="182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81"/>
      <c r="AJ409" s="181"/>
      <c r="AK409" s="181"/>
      <c r="AL409" s="181"/>
      <c r="AM409" s="181"/>
      <c r="AN409" s="181"/>
      <c r="AO409" s="181"/>
      <c r="AP409" s="181"/>
      <c r="AQ409" s="181"/>
      <c r="AR409" s="181"/>
      <c r="AS409" s="181"/>
      <c r="AT409" s="181"/>
      <c r="AU409" s="181"/>
      <c r="AV409" s="181"/>
      <c r="AW409" s="181"/>
    </row>
    <row r="410" spans="1:49" ht="13.5" customHeight="1" x14ac:dyDescent="0.3">
      <c r="A410" s="1"/>
      <c r="B410" s="181"/>
      <c r="C410" s="181"/>
      <c r="D410" s="181"/>
      <c r="E410" s="182"/>
      <c r="F410" s="182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81"/>
      <c r="AJ410" s="181"/>
      <c r="AK410" s="181"/>
      <c r="AL410" s="181"/>
      <c r="AM410" s="181"/>
      <c r="AN410" s="181"/>
      <c r="AO410" s="181"/>
      <c r="AP410" s="181"/>
      <c r="AQ410" s="181"/>
      <c r="AR410" s="181"/>
      <c r="AS410" s="181"/>
      <c r="AT410" s="181"/>
      <c r="AU410" s="181"/>
      <c r="AV410" s="181"/>
      <c r="AW410" s="181"/>
    </row>
    <row r="411" spans="1:49" ht="13.5" customHeight="1" x14ac:dyDescent="0.3">
      <c r="A411" s="1"/>
      <c r="B411" s="181"/>
      <c r="C411" s="181"/>
      <c r="D411" s="181"/>
      <c r="E411" s="182"/>
      <c r="F411" s="182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81"/>
      <c r="AI411" s="181"/>
      <c r="AJ411" s="181"/>
      <c r="AK411" s="181"/>
      <c r="AL411" s="181"/>
      <c r="AM411" s="181"/>
      <c r="AN411" s="181"/>
      <c r="AO411" s="181"/>
      <c r="AP411" s="181"/>
      <c r="AQ411" s="181"/>
      <c r="AR411" s="181"/>
      <c r="AS411" s="181"/>
      <c r="AT411" s="181"/>
      <c r="AU411" s="181"/>
      <c r="AV411" s="181"/>
      <c r="AW411" s="181"/>
    </row>
    <row r="412" spans="1:49" ht="13.5" customHeight="1" x14ac:dyDescent="0.3">
      <c r="A412" s="1"/>
      <c r="B412" s="181"/>
      <c r="C412" s="181"/>
      <c r="D412" s="181"/>
      <c r="E412" s="182"/>
      <c r="F412" s="182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  <c r="AC412" s="181"/>
      <c r="AD412" s="181"/>
      <c r="AE412" s="181"/>
      <c r="AF412" s="181"/>
      <c r="AG412" s="181"/>
      <c r="AH412" s="181"/>
      <c r="AI412" s="181"/>
      <c r="AJ412" s="181"/>
      <c r="AK412" s="181"/>
      <c r="AL412" s="181"/>
      <c r="AM412" s="181"/>
      <c r="AN412" s="181"/>
      <c r="AO412" s="181"/>
      <c r="AP412" s="181"/>
      <c r="AQ412" s="181"/>
      <c r="AR412" s="181"/>
      <c r="AS412" s="181"/>
      <c r="AT412" s="181"/>
      <c r="AU412" s="181"/>
      <c r="AV412" s="181"/>
      <c r="AW412" s="181"/>
    </row>
    <row r="413" spans="1:49" ht="13.5" customHeight="1" x14ac:dyDescent="0.3">
      <c r="A413" s="1"/>
      <c r="B413" s="181"/>
      <c r="C413" s="181"/>
      <c r="D413" s="181"/>
      <c r="E413" s="182"/>
      <c r="F413" s="182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  <c r="AC413" s="181"/>
      <c r="AD413" s="181"/>
      <c r="AE413" s="181"/>
      <c r="AF413" s="181"/>
      <c r="AG413" s="181"/>
      <c r="AH413" s="181"/>
      <c r="AI413" s="181"/>
      <c r="AJ413" s="181"/>
      <c r="AK413" s="181"/>
      <c r="AL413" s="181"/>
      <c r="AM413" s="181"/>
      <c r="AN413" s="181"/>
      <c r="AO413" s="181"/>
      <c r="AP413" s="181"/>
      <c r="AQ413" s="181"/>
      <c r="AR413" s="181"/>
      <c r="AS413" s="181"/>
      <c r="AT413" s="181"/>
      <c r="AU413" s="181"/>
      <c r="AV413" s="181"/>
      <c r="AW413" s="181"/>
    </row>
    <row r="414" spans="1:49" ht="13.5" customHeight="1" x14ac:dyDescent="0.3">
      <c r="A414" s="1"/>
      <c r="B414" s="181"/>
      <c r="C414" s="181"/>
      <c r="D414" s="181"/>
      <c r="E414" s="182"/>
      <c r="F414" s="182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  <c r="AC414" s="181"/>
      <c r="AD414" s="181"/>
      <c r="AE414" s="181"/>
      <c r="AF414" s="181"/>
      <c r="AG414" s="181"/>
      <c r="AH414" s="181"/>
      <c r="AI414" s="181"/>
      <c r="AJ414" s="181"/>
      <c r="AK414" s="181"/>
      <c r="AL414" s="181"/>
      <c r="AM414" s="181"/>
      <c r="AN414" s="181"/>
      <c r="AO414" s="181"/>
      <c r="AP414" s="181"/>
      <c r="AQ414" s="181"/>
      <c r="AR414" s="181"/>
      <c r="AS414" s="181"/>
      <c r="AT414" s="181"/>
      <c r="AU414" s="181"/>
      <c r="AV414" s="181"/>
      <c r="AW414" s="181"/>
    </row>
    <row r="415" spans="1:49" ht="13.5" customHeight="1" x14ac:dyDescent="0.3">
      <c r="A415" s="1"/>
      <c r="B415" s="181"/>
      <c r="C415" s="181"/>
      <c r="D415" s="181"/>
      <c r="E415" s="182"/>
      <c r="F415" s="182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  <c r="AC415" s="181"/>
      <c r="AD415" s="181"/>
      <c r="AE415" s="181"/>
      <c r="AF415" s="181"/>
      <c r="AG415" s="181"/>
      <c r="AH415" s="181"/>
      <c r="AI415" s="181"/>
      <c r="AJ415" s="181"/>
      <c r="AK415" s="181"/>
      <c r="AL415" s="181"/>
      <c r="AM415" s="181"/>
      <c r="AN415" s="181"/>
      <c r="AO415" s="181"/>
      <c r="AP415" s="181"/>
      <c r="AQ415" s="181"/>
      <c r="AR415" s="181"/>
      <c r="AS415" s="181"/>
      <c r="AT415" s="181"/>
      <c r="AU415" s="181"/>
      <c r="AV415" s="181"/>
      <c r="AW415" s="181"/>
    </row>
    <row r="416" spans="1:49" ht="13.5" customHeight="1" x14ac:dyDescent="0.3">
      <c r="A416" s="1"/>
      <c r="B416" s="181"/>
      <c r="C416" s="181"/>
      <c r="D416" s="181"/>
      <c r="E416" s="182"/>
      <c r="F416" s="182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  <c r="AC416" s="181"/>
      <c r="AD416" s="181"/>
      <c r="AE416" s="181"/>
      <c r="AF416" s="181"/>
      <c r="AG416" s="181"/>
      <c r="AH416" s="181"/>
      <c r="AI416" s="181"/>
      <c r="AJ416" s="181"/>
      <c r="AK416" s="181"/>
      <c r="AL416" s="181"/>
      <c r="AM416" s="181"/>
      <c r="AN416" s="181"/>
      <c r="AO416" s="181"/>
      <c r="AP416" s="181"/>
      <c r="AQ416" s="181"/>
      <c r="AR416" s="181"/>
      <c r="AS416" s="181"/>
      <c r="AT416" s="181"/>
      <c r="AU416" s="181"/>
      <c r="AV416" s="181"/>
      <c r="AW416" s="181"/>
    </row>
    <row r="417" spans="1:49" ht="13.5" customHeight="1" x14ac:dyDescent="0.3">
      <c r="A417" s="1"/>
      <c r="B417" s="181"/>
      <c r="C417" s="181"/>
      <c r="D417" s="181"/>
      <c r="E417" s="182"/>
      <c r="F417" s="182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  <c r="AC417" s="181"/>
      <c r="AD417" s="181"/>
      <c r="AE417" s="181"/>
      <c r="AF417" s="181"/>
      <c r="AG417" s="181"/>
      <c r="AH417" s="181"/>
      <c r="AI417" s="181"/>
      <c r="AJ417" s="181"/>
      <c r="AK417" s="181"/>
      <c r="AL417" s="181"/>
      <c r="AM417" s="181"/>
      <c r="AN417" s="181"/>
      <c r="AO417" s="181"/>
      <c r="AP417" s="181"/>
      <c r="AQ417" s="181"/>
      <c r="AR417" s="181"/>
      <c r="AS417" s="181"/>
      <c r="AT417" s="181"/>
      <c r="AU417" s="181"/>
      <c r="AV417" s="181"/>
      <c r="AW417" s="181"/>
    </row>
    <row r="418" spans="1:49" ht="13.5" customHeight="1" x14ac:dyDescent="0.3">
      <c r="A418" s="1"/>
      <c r="B418" s="181"/>
      <c r="C418" s="181"/>
      <c r="D418" s="181"/>
      <c r="E418" s="182"/>
      <c r="F418" s="182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  <c r="AC418" s="181"/>
      <c r="AD418" s="181"/>
      <c r="AE418" s="181"/>
      <c r="AF418" s="181"/>
      <c r="AG418" s="181"/>
      <c r="AH418" s="181"/>
      <c r="AI418" s="181"/>
      <c r="AJ418" s="181"/>
      <c r="AK418" s="181"/>
      <c r="AL418" s="181"/>
      <c r="AM418" s="181"/>
      <c r="AN418" s="181"/>
      <c r="AO418" s="181"/>
      <c r="AP418" s="181"/>
      <c r="AQ418" s="181"/>
      <c r="AR418" s="181"/>
      <c r="AS418" s="181"/>
      <c r="AT418" s="181"/>
      <c r="AU418" s="181"/>
      <c r="AV418" s="181"/>
      <c r="AW418" s="181"/>
    </row>
    <row r="419" spans="1:49" ht="13.5" customHeight="1" x14ac:dyDescent="0.3">
      <c r="A419" s="1"/>
      <c r="B419" s="181"/>
      <c r="C419" s="181"/>
      <c r="D419" s="181"/>
      <c r="E419" s="182"/>
      <c r="F419" s="182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  <c r="AC419" s="181"/>
      <c r="AD419" s="181"/>
      <c r="AE419" s="181"/>
      <c r="AF419" s="181"/>
      <c r="AG419" s="181"/>
      <c r="AH419" s="181"/>
      <c r="AI419" s="181"/>
      <c r="AJ419" s="181"/>
      <c r="AK419" s="181"/>
      <c r="AL419" s="181"/>
      <c r="AM419" s="181"/>
      <c r="AN419" s="181"/>
      <c r="AO419" s="181"/>
      <c r="AP419" s="181"/>
      <c r="AQ419" s="181"/>
      <c r="AR419" s="181"/>
      <c r="AS419" s="181"/>
      <c r="AT419" s="181"/>
      <c r="AU419" s="181"/>
      <c r="AV419" s="181"/>
      <c r="AW419" s="181"/>
    </row>
    <row r="420" spans="1:49" ht="13.5" customHeight="1" x14ac:dyDescent="0.3">
      <c r="A420" s="1"/>
      <c r="B420" s="181"/>
      <c r="C420" s="181"/>
      <c r="D420" s="181"/>
      <c r="E420" s="182"/>
      <c r="F420" s="182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  <c r="AC420" s="181"/>
      <c r="AD420" s="181"/>
      <c r="AE420" s="181"/>
      <c r="AF420" s="181"/>
      <c r="AG420" s="181"/>
      <c r="AH420" s="181"/>
      <c r="AI420" s="181"/>
      <c r="AJ420" s="181"/>
      <c r="AK420" s="181"/>
      <c r="AL420" s="181"/>
      <c r="AM420" s="181"/>
      <c r="AN420" s="181"/>
      <c r="AO420" s="181"/>
      <c r="AP420" s="181"/>
      <c r="AQ420" s="181"/>
      <c r="AR420" s="181"/>
      <c r="AS420" s="181"/>
      <c r="AT420" s="181"/>
      <c r="AU420" s="181"/>
      <c r="AV420" s="181"/>
      <c r="AW420" s="181"/>
    </row>
    <row r="421" spans="1:49" ht="13.5" customHeight="1" x14ac:dyDescent="0.3">
      <c r="A421" s="1"/>
      <c r="B421" s="181"/>
      <c r="C421" s="181"/>
      <c r="D421" s="181"/>
      <c r="E421" s="182"/>
      <c r="F421" s="182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  <c r="AC421" s="181"/>
      <c r="AD421" s="181"/>
      <c r="AE421" s="181"/>
      <c r="AF421" s="181"/>
      <c r="AG421" s="181"/>
      <c r="AH421" s="181"/>
      <c r="AI421" s="181"/>
      <c r="AJ421" s="181"/>
      <c r="AK421" s="181"/>
      <c r="AL421" s="181"/>
      <c r="AM421" s="181"/>
      <c r="AN421" s="181"/>
      <c r="AO421" s="181"/>
      <c r="AP421" s="181"/>
      <c r="AQ421" s="181"/>
      <c r="AR421" s="181"/>
      <c r="AS421" s="181"/>
      <c r="AT421" s="181"/>
      <c r="AU421" s="181"/>
      <c r="AV421" s="181"/>
      <c r="AW421" s="181"/>
    </row>
    <row r="422" spans="1:49" ht="13.5" customHeight="1" x14ac:dyDescent="0.3">
      <c r="A422" s="1"/>
      <c r="B422" s="181"/>
      <c r="C422" s="181"/>
      <c r="D422" s="181"/>
      <c r="E422" s="182"/>
      <c r="F422" s="182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  <c r="AC422" s="181"/>
      <c r="AD422" s="181"/>
      <c r="AE422" s="181"/>
      <c r="AF422" s="181"/>
      <c r="AG422" s="181"/>
      <c r="AH422" s="181"/>
      <c r="AI422" s="181"/>
      <c r="AJ422" s="181"/>
      <c r="AK422" s="181"/>
      <c r="AL422" s="181"/>
      <c r="AM422" s="181"/>
      <c r="AN422" s="181"/>
      <c r="AO422" s="181"/>
      <c r="AP422" s="181"/>
      <c r="AQ422" s="181"/>
      <c r="AR422" s="181"/>
      <c r="AS422" s="181"/>
      <c r="AT422" s="181"/>
      <c r="AU422" s="181"/>
      <c r="AV422" s="181"/>
      <c r="AW422" s="181"/>
    </row>
    <row r="423" spans="1:49" ht="13.5" customHeight="1" x14ac:dyDescent="0.3">
      <c r="A423" s="1"/>
      <c r="B423" s="181"/>
      <c r="C423" s="181"/>
      <c r="D423" s="181"/>
      <c r="E423" s="182"/>
      <c r="F423" s="182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  <c r="AC423" s="181"/>
      <c r="AD423" s="181"/>
      <c r="AE423" s="181"/>
      <c r="AF423" s="181"/>
      <c r="AG423" s="181"/>
      <c r="AH423" s="181"/>
      <c r="AI423" s="181"/>
      <c r="AJ423" s="181"/>
      <c r="AK423" s="181"/>
      <c r="AL423" s="181"/>
      <c r="AM423" s="181"/>
      <c r="AN423" s="181"/>
      <c r="AO423" s="181"/>
      <c r="AP423" s="181"/>
      <c r="AQ423" s="181"/>
      <c r="AR423" s="181"/>
      <c r="AS423" s="181"/>
      <c r="AT423" s="181"/>
      <c r="AU423" s="181"/>
      <c r="AV423" s="181"/>
      <c r="AW423" s="181"/>
    </row>
    <row r="424" spans="1:49" ht="13.5" customHeight="1" x14ac:dyDescent="0.3">
      <c r="A424" s="1"/>
      <c r="B424" s="181"/>
      <c r="C424" s="181"/>
      <c r="D424" s="181"/>
      <c r="E424" s="182"/>
      <c r="F424" s="182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  <c r="AC424" s="181"/>
      <c r="AD424" s="181"/>
      <c r="AE424" s="181"/>
      <c r="AF424" s="181"/>
      <c r="AG424" s="181"/>
      <c r="AH424" s="181"/>
      <c r="AI424" s="181"/>
      <c r="AJ424" s="181"/>
      <c r="AK424" s="181"/>
      <c r="AL424" s="181"/>
      <c r="AM424" s="181"/>
      <c r="AN424" s="181"/>
      <c r="AO424" s="181"/>
      <c r="AP424" s="181"/>
      <c r="AQ424" s="181"/>
      <c r="AR424" s="181"/>
      <c r="AS424" s="181"/>
      <c r="AT424" s="181"/>
      <c r="AU424" s="181"/>
      <c r="AV424" s="181"/>
      <c r="AW424" s="181"/>
    </row>
    <row r="425" spans="1:49" ht="13.5" customHeight="1" x14ac:dyDescent="0.3">
      <c r="A425" s="1"/>
      <c r="B425" s="181"/>
      <c r="C425" s="181"/>
      <c r="D425" s="181"/>
      <c r="E425" s="182"/>
      <c r="F425" s="182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  <c r="AC425" s="181"/>
      <c r="AD425" s="181"/>
      <c r="AE425" s="181"/>
      <c r="AF425" s="181"/>
      <c r="AG425" s="181"/>
      <c r="AH425" s="181"/>
      <c r="AI425" s="181"/>
      <c r="AJ425" s="181"/>
      <c r="AK425" s="181"/>
      <c r="AL425" s="181"/>
      <c r="AM425" s="181"/>
      <c r="AN425" s="181"/>
      <c r="AO425" s="181"/>
      <c r="AP425" s="181"/>
      <c r="AQ425" s="181"/>
      <c r="AR425" s="181"/>
      <c r="AS425" s="181"/>
      <c r="AT425" s="181"/>
      <c r="AU425" s="181"/>
      <c r="AV425" s="181"/>
      <c r="AW425" s="181"/>
    </row>
    <row r="426" spans="1:49" ht="13.5" customHeight="1" x14ac:dyDescent="0.3">
      <c r="A426" s="1"/>
      <c r="B426" s="181"/>
      <c r="C426" s="181"/>
      <c r="D426" s="181"/>
      <c r="E426" s="182"/>
      <c r="F426" s="182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  <c r="AC426" s="181"/>
      <c r="AD426" s="181"/>
      <c r="AE426" s="181"/>
      <c r="AF426" s="181"/>
      <c r="AG426" s="181"/>
      <c r="AH426" s="181"/>
      <c r="AI426" s="181"/>
      <c r="AJ426" s="181"/>
      <c r="AK426" s="181"/>
      <c r="AL426" s="181"/>
      <c r="AM426" s="181"/>
      <c r="AN426" s="181"/>
      <c r="AO426" s="181"/>
      <c r="AP426" s="181"/>
      <c r="AQ426" s="181"/>
      <c r="AR426" s="181"/>
      <c r="AS426" s="181"/>
      <c r="AT426" s="181"/>
      <c r="AU426" s="181"/>
      <c r="AV426" s="181"/>
      <c r="AW426" s="181"/>
    </row>
    <row r="427" spans="1:49" ht="13.5" customHeight="1" x14ac:dyDescent="0.3">
      <c r="A427" s="1"/>
      <c r="B427" s="181"/>
      <c r="C427" s="181"/>
      <c r="D427" s="181"/>
      <c r="E427" s="182"/>
      <c r="F427" s="182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  <c r="AC427" s="181"/>
      <c r="AD427" s="181"/>
      <c r="AE427" s="181"/>
      <c r="AF427" s="181"/>
      <c r="AG427" s="181"/>
      <c r="AH427" s="181"/>
      <c r="AI427" s="181"/>
      <c r="AJ427" s="181"/>
      <c r="AK427" s="181"/>
      <c r="AL427" s="181"/>
      <c r="AM427" s="181"/>
      <c r="AN427" s="181"/>
      <c r="AO427" s="181"/>
      <c r="AP427" s="181"/>
      <c r="AQ427" s="181"/>
      <c r="AR427" s="181"/>
      <c r="AS427" s="181"/>
      <c r="AT427" s="181"/>
      <c r="AU427" s="181"/>
      <c r="AV427" s="181"/>
      <c r="AW427" s="181"/>
    </row>
    <row r="428" spans="1:49" ht="13.5" customHeight="1" x14ac:dyDescent="0.3">
      <c r="A428" s="1"/>
      <c r="B428" s="181"/>
      <c r="C428" s="181"/>
      <c r="D428" s="181"/>
      <c r="E428" s="182"/>
      <c r="F428" s="182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  <c r="AC428" s="181"/>
      <c r="AD428" s="181"/>
      <c r="AE428" s="181"/>
      <c r="AF428" s="181"/>
      <c r="AG428" s="181"/>
      <c r="AH428" s="181"/>
      <c r="AI428" s="181"/>
      <c r="AJ428" s="181"/>
      <c r="AK428" s="181"/>
      <c r="AL428" s="181"/>
      <c r="AM428" s="181"/>
      <c r="AN428" s="181"/>
      <c r="AO428" s="181"/>
      <c r="AP428" s="181"/>
      <c r="AQ428" s="181"/>
      <c r="AR428" s="181"/>
      <c r="AS428" s="181"/>
      <c r="AT428" s="181"/>
      <c r="AU428" s="181"/>
      <c r="AV428" s="181"/>
      <c r="AW428" s="181"/>
    </row>
    <row r="429" spans="1:49" ht="13.5" customHeight="1" x14ac:dyDescent="0.3">
      <c r="A429" s="1"/>
      <c r="B429" s="181"/>
      <c r="C429" s="181"/>
      <c r="D429" s="181"/>
      <c r="E429" s="182"/>
      <c r="F429" s="182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  <c r="AC429" s="181"/>
      <c r="AD429" s="181"/>
      <c r="AE429" s="181"/>
      <c r="AF429" s="181"/>
      <c r="AG429" s="181"/>
      <c r="AH429" s="181"/>
      <c r="AI429" s="181"/>
      <c r="AJ429" s="181"/>
      <c r="AK429" s="181"/>
      <c r="AL429" s="181"/>
      <c r="AM429" s="181"/>
      <c r="AN429" s="181"/>
      <c r="AO429" s="181"/>
      <c r="AP429" s="181"/>
      <c r="AQ429" s="181"/>
      <c r="AR429" s="181"/>
      <c r="AS429" s="181"/>
      <c r="AT429" s="181"/>
      <c r="AU429" s="181"/>
      <c r="AV429" s="181"/>
      <c r="AW429" s="181"/>
    </row>
    <row r="430" spans="1:49" ht="13.5" customHeight="1" x14ac:dyDescent="0.3">
      <c r="A430" s="1"/>
      <c r="B430" s="181"/>
      <c r="C430" s="181"/>
      <c r="D430" s="181"/>
      <c r="E430" s="182"/>
      <c r="F430" s="182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  <c r="AC430" s="181"/>
      <c r="AD430" s="181"/>
      <c r="AE430" s="181"/>
      <c r="AF430" s="181"/>
      <c r="AG430" s="181"/>
      <c r="AH430" s="181"/>
      <c r="AI430" s="181"/>
      <c r="AJ430" s="181"/>
      <c r="AK430" s="181"/>
      <c r="AL430" s="181"/>
      <c r="AM430" s="181"/>
      <c r="AN430" s="181"/>
      <c r="AO430" s="181"/>
      <c r="AP430" s="181"/>
      <c r="AQ430" s="181"/>
      <c r="AR430" s="181"/>
      <c r="AS430" s="181"/>
      <c r="AT430" s="181"/>
      <c r="AU430" s="181"/>
      <c r="AV430" s="181"/>
      <c r="AW430" s="181"/>
    </row>
    <row r="431" spans="1:49" ht="13.5" customHeight="1" x14ac:dyDescent="0.3">
      <c r="A431" s="1"/>
      <c r="B431" s="181"/>
      <c r="C431" s="181"/>
      <c r="D431" s="181"/>
      <c r="E431" s="182"/>
      <c r="F431" s="182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  <c r="AC431" s="181"/>
      <c r="AD431" s="181"/>
      <c r="AE431" s="181"/>
      <c r="AF431" s="181"/>
      <c r="AG431" s="181"/>
      <c r="AH431" s="181"/>
      <c r="AI431" s="181"/>
      <c r="AJ431" s="181"/>
      <c r="AK431" s="181"/>
      <c r="AL431" s="181"/>
      <c r="AM431" s="181"/>
      <c r="AN431" s="181"/>
      <c r="AO431" s="181"/>
      <c r="AP431" s="181"/>
      <c r="AQ431" s="181"/>
      <c r="AR431" s="181"/>
      <c r="AS431" s="181"/>
      <c r="AT431" s="181"/>
      <c r="AU431" s="181"/>
      <c r="AV431" s="181"/>
      <c r="AW431" s="181"/>
    </row>
    <row r="432" spans="1:49" ht="13.5" customHeight="1" x14ac:dyDescent="0.3">
      <c r="A432" s="1"/>
      <c r="B432" s="181"/>
      <c r="C432" s="181"/>
      <c r="D432" s="181"/>
      <c r="E432" s="182"/>
      <c r="F432" s="182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  <c r="AC432" s="181"/>
      <c r="AD432" s="181"/>
      <c r="AE432" s="181"/>
      <c r="AF432" s="181"/>
      <c r="AG432" s="181"/>
      <c r="AH432" s="181"/>
      <c r="AI432" s="181"/>
      <c r="AJ432" s="181"/>
      <c r="AK432" s="181"/>
      <c r="AL432" s="181"/>
      <c r="AM432" s="181"/>
      <c r="AN432" s="181"/>
      <c r="AO432" s="181"/>
      <c r="AP432" s="181"/>
      <c r="AQ432" s="181"/>
      <c r="AR432" s="181"/>
      <c r="AS432" s="181"/>
      <c r="AT432" s="181"/>
      <c r="AU432" s="181"/>
      <c r="AV432" s="181"/>
      <c r="AW432" s="181"/>
    </row>
    <row r="433" spans="1:49" ht="13.5" customHeight="1" x14ac:dyDescent="0.3">
      <c r="A433" s="1"/>
      <c r="B433" s="181"/>
      <c r="C433" s="181"/>
      <c r="D433" s="181"/>
      <c r="E433" s="182"/>
      <c r="F433" s="182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  <c r="AC433" s="181"/>
      <c r="AD433" s="181"/>
      <c r="AE433" s="181"/>
      <c r="AF433" s="181"/>
      <c r="AG433" s="181"/>
      <c r="AH433" s="181"/>
      <c r="AI433" s="181"/>
      <c r="AJ433" s="181"/>
      <c r="AK433" s="181"/>
      <c r="AL433" s="181"/>
      <c r="AM433" s="181"/>
      <c r="AN433" s="181"/>
      <c r="AO433" s="181"/>
      <c r="AP433" s="181"/>
      <c r="AQ433" s="181"/>
      <c r="AR433" s="181"/>
      <c r="AS433" s="181"/>
      <c r="AT433" s="181"/>
      <c r="AU433" s="181"/>
      <c r="AV433" s="181"/>
      <c r="AW433" s="181"/>
    </row>
    <row r="434" spans="1:49" ht="13.5" customHeight="1" x14ac:dyDescent="0.3">
      <c r="A434" s="1"/>
      <c r="B434" s="181"/>
      <c r="C434" s="181"/>
      <c r="D434" s="181"/>
      <c r="E434" s="182"/>
      <c r="F434" s="182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  <c r="AC434" s="181"/>
      <c r="AD434" s="181"/>
      <c r="AE434" s="181"/>
      <c r="AF434" s="181"/>
      <c r="AG434" s="181"/>
      <c r="AH434" s="181"/>
      <c r="AI434" s="181"/>
      <c r="AJ434" s="181"/>
      <c r="AK434" s="181"/>
      <c r="AL434" s="181"/>
      <c r="AM434" s="181"/>
      <c r="AN434" s="181"/>
      <c r="AO434" s="181"/>
      <c r="AP434" s="181"/>
      <c r="AQ434" s="181"/>
      <c r="AR434" s="181"/>
      <c r="AS434" s="181"/>
      <c r="AT434" s="181"/>
      <c r="AU434" s="181"/>
      <c r="AV434" s="181"/>
      <c r="AW434" s="181"/>
    </row>
    <row r="435" spans="1:49" ht="13.5" customHeight="1" x14ac:dyDescent="0.3">
      <c r="A435" s="1"/>
      <c r="B435" s="181"/>
      <c r="C435" s="181"/>
      <c r="D435" s="181"/>
      <c r="E435" s="182"/>
      <c r="F435" s="182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  <c r="AC435" s="181"/>
      <c r="AD435" s="181"/>
      <c r="AE435" s="181"/>
      <c r="AF435" s="181"/>
      <c r="AG435" s="181"/>
      <c r="AH435" s="181"/>
      <c r="AI435" s="181"/>
      <c r="AJ435" s="181"/>
      <c r="AK435" s="181"/>
      <c r="AL435" s="181"/>
      <c r="AM435" s="181"/>
      <c r="AN435" s="181"/>
      <c r="AO435" s="181"/>
      <c r="AP435" s="181"/>
      <c r="AQ435" s="181"/>
      <c r="AR435" s="181"/>
      <c r="AS435" s="181"/>
      <c r="AT435" s="181"/>
      <c r="AU435" s="181"/>
      <c r="AV435" s="181"/>
      <c r="AW435" s="181"/>
    </row>
    <row r="436" spans="1:49" ht="13.5" customHeight="1" x14ac:dyDescent="0.3">
      <c r="A436" s="1"/>
      <c r="B436" s="181"/>
      <c r="C436" s="181"/>
      <c r="D436" s="181"/>
      <c r="E436" s="182"/>
      <c r="F436" s="182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  <c r="AC436" s="181"/>
      <c r="AD436" s="181"/>
      <c r="AE436" s="181"/>
      <c r="AF436" s="181"/>
      <c r="AG436" s="181"/>
      <c r="AH436" s="181"/>
      <c r="AI436" s="181"/>
      <c r="AJ436" s="181"/>
      <c r="AK436" s="181"/>
      <c r="AL436" s="181"/>
      <c r="AM436" s="181"/>
      <c r="AN436" s="181"/>
      <c r="AO436" s="181"/>
      <c r="AP436" s="181"/>
      <c r="AQ436" s="181"/>
      <c r="AR436" s="181"/>
      <c r="AS436" s="181"/>
      <c r="AT436" s="181"/>
      <c r="AU436" s="181"/>
      <c r="AV436" s="181"/>
      <c r="AW436" s="181"/>
    </row>
    <row r="437" spans="1:49" ht="13.5" customHeight="1" x14ac:dyDescent="0.3">
      <c r="A437" s="1"/>
      <c r="B437" s="181"/>
      <c r="C437" s="181"/>
      <c r="D437" s="181"/>
      <c r="E437" s="182"/>
      <c r="F437" s="182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  <c r="AC437" s="181"/>
      <c r="AD437" s="181"/>
      <c r="AE437" s="181"/>
      <c r="AF437" s="181"/>
      <c r="AG437" s="181"/>
      <c r="AH437" s="181"/>
      <c r="AI437" s="181"/>
      <c r="AJ437" s="181"/>
      <c r="AK437" s="181"/>
      <c r="AL437" s="181"/>
      <c r="AM437" s="181"/>
      <c r="AN437" s="181"/>
      <c r="AO437" s="181"/>
      <c r="AP437" s="181"/>
      <c r="AQ437" s="181"/>
      <c r="AR437" s="181"/>
      <c r="AS437" s="181"/>
      <c r="AT437" s="181"/>
      <c r="AU437" s="181"/>
      <c r="AV437" s="181"/>
      <c r="AW437" s="181"/>
    </row>
    <row r="438" spans="1:49" ht="13.5" customHeight="1" x14ac:dyDescent="0.3">
      <c r="A438" s="1"/>
      <c r="B438" s="181"/>
      <c r="C438" s="181"/>
      <c r="D438" s="181"/>
      <c r="E438" s="182"/>
      <c r="F438" s="182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  <c r="AC438" s="181"/>
      <c r="AD438" s="181"/>
      <c r="AE438" s="181"/>
      <c r="AF438" s="181"/>
      <c r="AG438" s="181"/>
      <c r="AH438" s="181"/>
      <c r="AI438" s="181"/>
      <c r="AJ438" s="181"/>
      <c r="AK438" s="181"/>
      <c r="AL438" s="181"/>
      <c r="AM438" s="181"/>
      <c r="AN438" s="181"/>
      <c r="AO438" s="181"/>
      <c r="AP438" s="181"/>
      <c r="AQ438" s="181"/>
      <c r="AR438" s="181"/>
      <c r="AS438" s="181"/>
      <c r="AT438" s="181"/>
      <c r="AU438" s="181"/>
      <c r="AV438" s="181"/>
      <c r="AW438" s="181"/>
    </row>
    <row r="439" spans="1:49" ht="13.5" customHeight="1" x14ac:dyDescent="0.3">
      <c r="A439" s="1"/>
      <c r="B439" s="181"/>
      <c r="C439" s="181"/>
      <c r="D439" s="181"/>
      <c r="E439" s="182"/>
      <c r="F439" s="182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  <c r="AC439" s="181"/>
      <c r="AD439" s="181"/>
      <c r="AE439" s="181"/>
      <c r="AF439" s="181"/>
      <c r="AG439" s="181"/>
      <c r="AH439" s="181"/>
      <c r="AI439" s="181"/>
      <c r="AJ439" s="181"/>
      <c r="AK439" s="181"/>
      <c r="AL439" s="181"/>
      <c r="AM439" s="181"/>
      <c r="AN439" s="181"/>
      <c r="AO439" s="181"/>
      <c r="AP439" s="181"/>
      <c r="AQ439" s="181"/>
      <c r="AR439" s="181"/>
      <c r="AS439" s="181"/>
      <c r="AT439" s="181"/>
      <c r="AU439" s="181"/>
      <c r="AV439" s="181"/>
      <c r="AW439" s="181"/>
    </row>
    <row r="440" spans="1:49" ht="13.5" customHeight="1" x14ac:dyDescent="0.3">
      <c r="A440" s="1"/>
      <c r="B440" s="181"/>
      <c r="C440" s="181"/>
      <c r="D440" s="181"/>
      <c r="E440" s="182"/>
      <c r="F440" s="182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  <c r="AC440" s="181"/>
      <c r="AD440" s="181"/>
      <c r="AE440" s="181"/>
      <c r="AF440" s="181"/>
      <c r="AG440" s="181"/>
      <c r="AH440" s="181"/>
      <c r="AI440" s="181"/>
      <c r="AJ440" s="181"/>
      <c r="AK440" s="181"/>
      <c r="AL440" s="181"/>
      <c r="AM440" s="181"/>
      <c r="AN440" s="181"/>
      <c r="AO440" s="181"/>
      <c r="AP440" s="181"/>
      <c r="AQ440" s="181"/>
      <c r="AR440" s="181"/>
      <c r="AS440" s="181"/>
      <c r="AT440" s="181"/>
      <c r="AU440" s="181"/>
      <c r="AV440" s="181"/>
      <c r="AW440" s="181"/>
    </row>
    <row r="441" spans="1:49" ht="13.5" customHeight="1" x14ac:dyDescent="0.3">
      <c r="A441" s="1"/>
      <c r="B441" s="181"/>
      <c r="C441" s="181"/>
      <c r="D441" s="181"/>
      <c r="E441" s="182"/>
      <c r="F441" s="182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  <c r="AC441" s="181"/>
      <c r="AD441" s="181"/>
      <c r="AE441" s="181"/>
      <c r="AF441" s="181"/>
      <c r="AG441" s="181"/>
      <c r="AH441" s="181"/>
      <c r="AI441" s="181"/>
      <c r="AJ441" s="181"/>
      <c r="AK441" s="181"/>
      <c r="AL441" s="181"/>
      <c r="AM441" s="181"/>
      <c r="AN441" s="181"/>
      <c r="AO441" s="181"/>
      <c r="AP441" s="181"/>
      <c r="AQ441" s="181"/>
      <c r="AR441" s="181"/>
      <c r="AS441" s="181"/>
      <c r="AT441" s="181"/>
      <c r="AU441" s="181"/>
      <c r="AV441" s="181"/>
      <c r="AW441" s="181"/>
    </row>
    <row r="442" spans="1:49" ht="13.5" customHeight="1" x14ac:dyDescent="0.3">
      <c r="A442" s="1"/>
      <c r="B442" s="181"/>
      <c r="C442" s="181"/>
      <c r="D442" s="181"/>
      <c r="E442" s="182"/>
      <c r="F442" s="182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  <c r="AC442" s="181"/>
      <c r="AD442" s="181"/>
      <c r="AE442" s="181"/>
      <c r="AF442" s="181"/>
      <c r="AG442" s="181"/>
      <c r="AH442" s="181"/>
      <c r="AI442" s="181"/>
      <c r="AJ442" s="181"/>
      <c r="AK442" s="181"/>
      <c r="AL442" s="181"/>
      <c r="AM442" s="181"/>
      <c r="AN442" s="181"/>
      <c r="AO442" s="181"/>
      <c r="AP442" s="181"/>
      <c r="AQ442" s="181"/>
      <c r="AR442" s="181"/>
      <c r="AS442" s="181"/>
      <c r="AT442" s="181"/>
      <c r="AU442" s="181"/>
      <c r="AV442" s="181"/>
      <c r="AW442" s="181"/>
    </row>
    <row r="443" spans="1:49" ht="13.5" customHeight="1" x14ac:dyDescent="0.3">
      <c r="A443" s="1"/>
      <c r="B443" s="181"/>
      <c r="C443" s="181"/>
      <c r="D443" s="181"/>
      <c r="E443" s="182"/>
      <c r="F443" s="182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  <c r="AC443" s="181"/>
      <c r="AD443" s="181"/>
      <c r="AE443" s="181"/>
      <c r="AF443" s="181"/>
      <c r="AG443" s="181"/>
      <c r="AH443" s="181"/>
      <c r="AI443" s="181"/>
      <c r="AJ443" s="181"/>
      <c r="AK443" s="181"/>
      <c r="AL443" s="181"/>
      <c r="AM443" s="181"/>
      <c r="AN443" s="181"/>
      <c r="AO443" s="181"/>
      <c r="AP443" s="181"/>
      <c r="AQ443" s="181"/>
      <c r="AR443" s="181"/>
      <c r="AS443" s="181"/>
      <c r="AT443" s="181"/>
      <c r="AU443" s="181"/>
      <c r="AV443" s="181"/>
      <c r="AW443" s="181"/>
    </row>
    <row r="444" spans="1:49" ht="13.5" customHeight="1" x14ac:dyDescent="0.3">
      <c r="A444" s="1"/>
      <c r="B444" s="181"/>
      <c r="C444" s="181"/>
      <c r="D444" s="181"/>
      <c r="E444" s="182"/>
      <c r="F444" s="182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  <c r="AC444" s="181"/>
      <c r="AD444" s="181"/>
      <c r="AE444" s="181"/>
      <c r="AF444" s="181"/>
      <c r="AG444" s="181"/>
      <c r="AH444" s="181"/>
      <c r="AI444" s="181"/>
      <c r="AJ444" s="181"/>
      <c r="AK444" s="181"/>
      <c r="AL444" s="181"/>
      <c r="AM444" s="181"/>
      <c r="AN444" s="181"/>
      <c r="AO444" s="181"/>
      <c r="AP444" s="181"/>
      <c r="AQ444" s="181"/>
      <c r="AR444" s="181"/>
      <c r="AS444" s="181"/>
      <c r="AT444" s="181"/>
      <c r="AU444" s="181"/>
      <c r="AV444" s="181"/>
      <c r="AW444" s="181"/>
    </row>
    <row r="445" spans="1:49" ht="13.5" customHeight="1" x14ac:dyDescent="0.3">
      <c r="A445" s="1"/>
      <c r="B445" s="181"/>
      <c r="C445" s="181"/>
      <c r="D445" s="181"/>
      <c r="E445" s="182"/>
      <c r="F445" s="182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  <c r="AC445" s="181"/>
      <c r="AD445" s="181"/>
      <c r="AE445" s="181"/>
      <c r="AF445" s="181"/>
      <c r="AG445" s="181"/>
      <c r="AH445" s="181"/>
      <c r="AI445" s="181"/>
      <c r="AJ445" s="181"/>
      <c r="AK445" s="181"/>
      <c r="AL445" s="181"/>
      <c r="AM445" s="181"/>
      <c r="AN445" s="181"/>
      <c r="AO445" s="181"/>
      <c r="AP445" s="181"/>
      <c r="AQ445" s="181"/>
      <c r="AR445" s="181"/>
      <c r="AS445" s="181"/>
      <c r="AT445" s="181"/>
      <c r="AU445" s="181"/>
      <c r="AV445" s="181"/>
      <c r="AW445" s="181"/>
    </row>
    <row r="446" spans="1:49" ht="13.5" customHeight="1" x14ac:dyDescent="0.3">
      <c r="A446" s="1"/>
      <c r="B446" s="181"/>
      <c r="C446" s="181"/>
      <c r="D446" s="181"/>
      <c r="E446" s="182"/>
      <c r="F446" s="182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  <c r="AC446" s="181"/>
      <c r="AD446" s="181"/>
      <c r="AE446" s="181"/>
      <c r="AF446" s="181"/>
      <c r="AG446" s="181"/>
      <c r="AH446" s="181"/>
      <c r="AI446" s="181"/>
      <c r="AJ446" s="181"/>
      <c r="AK446" s="181"/>
      <c r="AL446" s="181"/>
      <c r="AM446" s="181"/>
      <c r="AN446" s="181"/>
      <c r="AO446" s="181"/>
      <c r="AP446" s="181"/>
      <c r="AQ446" s="181"/>
      <c r="AR446" s="181"/>
      <c r="AS446" s="181"/>
      <c r="AT446" s="181"/>
      <c r="AU446" s="181"/>
      <c r="AV446" s="181"/>
      <c r="AW446" s="181"/>
    </row>
    <row r="447" spans="1:49" ht="13.5" customHeight="1" x14ac:dyDescent="0.3">
      <c r="A447" s="1"/>
      <c r="B447" s="181"/>
      <c r="C447" s="181"/>
      <c r="D447" s="181"/>
      <c r="E447" s="182"/>
      <c r="F447" s="182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  <c r="AC447" s="181"/>
      <c r="AD447" s="181"/>
      <c r="AE447" s="181"/>
      <c r="AF447" s="181"/>
      <c r="AG447" s="181"/>
      <c r="AH447" s="181"/>
      <c r="AI447" s="181"/>
      <c r="AJ447" s="181"/>
      <c r="AK447" s="181"/>
      <c r="AL447" s="181"/>
      <c r="AM447" s="181"/>
      <c r="AN447" s="181"/>
      <c r="AO447" s="181"/>
      <c r="AP447" s="181"/>
      <c r="AQ447" s="181"/>
      <c r="AR447" s="181"/>
      <c r="AS447" s="181"/>
      <c r="AT447" s="181"/>
      <c r="AU447" s="181"/>
      <c r="AV447" s="181"/>
      <c r="AW447" s="181"/>
    </row>
    <row r="448" spans="1:49" ht="13.5" customHeight="1" x14ac:dyDescent="0.3">
      <c r="A448" s="1"/>
      <c r="B448" s="181"/>
      <c r="C448" s="181"/>
      <c r="D448" s="181"/>
      <c r="E448" s="182"/>
      <c r="F448" s="182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  <c r="AC448" s="181"/>
      <c r="AD448" s="181"/>
      <c r="AE448" s="181"/>
      <c r="AF448" s="181"/>
      <c r="AG448" s="181"/>
      <c r="AH448" s="181"/>
      <c r="AI448" s="181"/>
      <c r="AJ448" s="181"/>
      <c r="AK448" s="181"/>
      <c r="AL448" s="181"/>
      <c r="AM448" s="181"/>
      <c r="AN448" s="181"/>
      <c r="AO448" s="181"/>
      <c r="AP448" s="181"/>
      <c r="AQ448" s="181"/>
      <c r="AR448" s="181"/>
      <c r="AS448" s="181"/>
      <c r="AT448" s="181"/>
      <c r="AU448" s="181"/>
      <c r="AV448" s="181"/>
      <c r="AW448" s="181"/>
    </row>
    <row r="449" spans="1:49" ht="13.5" customHeight="1" x14ac:dyDescent="0.3">
      <c r="A449" s="1"/>
      <c r="B449" s="181"/>
      <c r="C449" s="181"/>
      <c r="D449" s="181"/>
      <c r="E449" s="182"/>
      <c r="F449" s="182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  <c r="AC449" s="181"/>
      <c r="AD449" s="181"/>
      <c r="AE449" s="181"/>
      <c r="AF449" s="181"/>
      <c r="AG449" s="181"/>
      <c r="AH449" s="181"/>
      <c r="AI449" s="181"/>
      <c r="AJ449" s="181"/>
      <c r="AK449" s="181"/>
      <c r="AL449" s="181"/>
      <c r="AM449" s="181"/>
      <c r="AN449" s="181"/>
      <c r="AO449" s="181"/>
      <c r="AP449" s="181"/>
      <c r="AQ449" s="181"/>
      <c r="AR449" s="181"/>
      <c r="AS449" s="181"/>
      <c r="AT449" s="181"/>
      <c r="AU449" s="181"/>
      <c r="AV449" s="181"/>
      <c r="AW449" s="181"/>
    </row>
    <row r="450" spans="1:49" ht="13.5" customHeight="1" x14ac:dyDescent="0.3">
      <c r="A450" s="1"/>
      <c r="B450" s="181"/>
      <c r="C450" s="181"/>
      <c r="D450" s="181"/>
      <c r="E450" s="182"/>
      <c r="F450" s="182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  <c r="AC450" s="181"/>
      <c r="AD450" s="181"/>
      <c r="AE450" s="181"/>
      <c r="AF450" s="181"/>
      <c r="AG450" s="181"/>
      <c r="AH450" s="181"/>
      <c r="AI450" s="181"/>
      <c r="AJ450" s="181"/>
      <c r="AK450" s="181"/>
      <c r="AL450" s="181"/>
      <c r="AM450" s="181"/>
      <c r="AN450" s="181"/>
      <c r="AO450" s="181"/>
      <c r="AP450" s="181"/>
      <c r="AQ450" s="181"/>
      <c r="AR450" s="181"/>
      <c r="AS450" s="181"/>
      <c r="AT450" s="181"/>
      <c r="AU450" s="181"/>
      <c r="AV450" s="181"/>
      <c r="AW450" s="181"/>
    </row>
    <row r="451" spans="1:49" ht="13.5" customHeight="1" x14ac:dyDescent="0.3">
      <c r="A451" s="1"/>
      <c r="B451" s="181"/>
      <c r="C451" s="181"/>
      <c r="D451" s="181"/>
      <c r="E451" s="182"/>
      <c r="F451" s="182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  <c r="AC451" s="181"/>
      <c r="AD451" s="181"/>
      <c r="AE451" s="181"/>
      <c r="AF451" s="181"/>
      <c r="AG451" s="181"/>
      <c r="AH451" s="181"/>
      <c r="AI451" s="181"/>
      <c r="AJ451" s="181"/>
      <c r="AK451" s="181"/>
      <c r="AL451" s="181"/>
      <c r="AM451" s="181"/>
      <c r="AN451" s="181"/>
      <c r="AO451" s="181"/>
      <c r="AP451" s="181"/>
      <c r="AQ451" s="181"/>
      <c r="AR451" s="181"/>
      <c r="AS451" s="181"/>
      <c r="AT451" s="181"/>
      <c r="AU451" s="181"/>
      <c r="AV451" s="181"/>
      <c r="AW451" s="181"/>
    </row>
    <row r="452" spans="1:49" ht="13.5" customHeight="1" x14ac:dyDescent="0.3">
      <c r="A452" s="1"/>
      <c r="B452" s="181"/>
      <c r="C452" s="181"/>
      <c r="D452" s="181"/>
      <c r="E452" s="182"/>
      <c r="F452" s="182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  <c r="AC452" s="181"/>
      <c r="AD452" s="181"/>
      <c r="AE452" s="181"/>
      <c r="AF452" s="181"/>
      <c r="AG452" s="181"/>
      <c r="AH452" s="181"/>
      <c r="AI452" s="181"/>
      <c r="AJ452" s="181"/>
      <c r="AK452" s="181"/>
      <c r="AL452" s="181"/>
      <c r="AM452" s="181"/>
      <c r="AN452" s="181"/>
      <c r="AO452" s="181"/>
      <c r="AP452" s="181"/>
      <c r="AQ452" s="181"/>
      <c r="AR452" s="181"/>
      <c r="AS452" s="181"/>
      <c r="AT452" s="181"/>
      <c r="AU452" s="181"/>
      <c r="AV452" s="181"/>
      <c r="AW452" s="181"/>
    </row>
    <row r="453" spans="1:49" ht="13.5" customHeight="1" x14ac:dyDescent="0.3">
      <c r="A453" s="1"/>
      <c r="B453" s="181"/>
      <c r="C453" s="181"/>
      <c r="D453" s="181"/>
      <c r="E453" s="182"/>
      <c r="F453" s="182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  <c r="AC453" s="181"/>
      <c r="AD453" s="181"/>
      <c r="AE453" s="181"/>
      <c r="AF453" s="181"/>
      <c r="AG453" s="181"/>
      <c r="AH453" s="181"/>
      <c r="AI453" s="181"/>
      <c r="AJ453" s="181"/>
      <c r="AK453" s="181"/>
      <c r="AL453" s="181"/>
      <c r="AM453" s="181"/>
      <c r="AN453" s="181"/>
      <c r="AO453" s="181"/>
      <c r="AP453" s="181"/>
      <c r="AQ453" s="181"/>
      <c r="AR453" s="181"/>
      <c r="AS453" s="181"/>
      <c r="AT453" s="181"/>
      <c r="AU453" s="181"/>
      <c r="AV453" s="181"/>
      <c r="AW453" s="181"/>
    </row>
    <row r="454" spans="1:49" ht="13.5" customHeight="1" x14ac:dyDescent="0.3">
      <c r="A454" s="1"/>
      <c r="B454" s="181"/>
      <c r="C454" s="181"/>
      <c r="D454" s="181"/>
      <c r="E454" s="182"/>
      <c r="F454" s="182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  <c r="AC454" s="181"/>
      <c r="AD454" s="181"/>
      <c r="AE454" s="181"/>
      <c r="AF454" s="181"/>
      <c r="AG454" s="181"/>
      <c r="AH454" s="181"/>
      <c r="AI454" s="181"/>
      <c r="AJ454" s="181"/>
      <c r="AK454" s="181"/>
      <c r="AL454" s="181"/>
      <c r="AM454" s="181"/>
      <c r="AN454" s="181"/>
      <c r="AO454" s="181"/>
      <c r="AP454" s="181"/>
      <c r="AQ454" s="181"/>
      <c r="AR454" s="181"/>
      <c r="AS454" s="181"/>
      <c r="AT454" s="181"/>
      <c r="AU454" s="181"/>
      <c r="AV454" s="181"/>
      <c r="AW454" s="181"/>
    </row>
    <row r="455" spans="1:49" ht="13.5" customHeight="1" x14ac:dyDescent="0.3">
      <c r="A455" s="1"/>
      <c r="B455" s="181"/>
      <c r="C455" s="181"/>
      <c r="D455" s="181"/>
      <c r="E455" s="182"/>
      <c r="F455" s="182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  <c r="AC455" s="181"/>
      <c r="AD455" s="181"/>
      <c r="AE455" s="181"/>
      <c r="AF455" s="181"/>
      <c r="AG455" s="181"/>
      <c r="AH455" s="181"/>
      <c r="AI455" s="181"/>
      <c r="AJ455" s="181"/>
      <c r="AK455" s="181"/>
      <c r="AL455" s="181"/>
      <c r="AM455" s="181"/>
      <c r="AN455" s="181"/>
      <c r="AO455" s="181"/>
      <c r="AP455" s="181"/>
      <c r="AQ455" s="181"/>
      <c r="AR455" s="181"/>
      <c r="AS455" s="181"/>
      <c r="AT455" s="181"/>
      <c r="AU455" s="181"/>
      <c r="AV455" s="181"/>
      <c r="AW455" s="181"/>
    </row>
    <row r="456" spans="1:49" ht="13.5" customHeight="1" x14ac:dyDescent="0.3">
      <c r="A456" s="1"/>
      <c r="B456" s="181"/>
      <c r="C456" s="181"/>
      <c r="D456" s="181"/>
      <c r="E456" s="182"/>
      <c r="F456" s="182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  <c r="AC456" s="181"/>
      <c r="AD456" s="181"/>
      <c r="AE456" s="181"/>
      <c r="AF456" s="181"/>
      <c r="AG456" s="181"/>
      <c r="AH456" s="181"/>
      <c r="AI456" s="181"/>
      <c r="AJ456" s="181"/>
      <c r="AK456" s="181"/>
      <c r="AL456" s="181"/>
      <c r="AM456" s="181"/>
      <c r="AN456" s="181"/>
      <c r="AO456" s="181"/>
      <c r="AP456" s="181"/>
      <c r="AQ456" s="181"/>
      <c r="AR456" s="181"/>
      <c r="AS456" s="181"/>
      <c r="AT456" s="181"/>
      <c r="AU456" s="181"/>
      <c r="AV456" s="181"/>
      <c r="AW456" s="181"/>
    </row>
    <row r="457" spans="1:49" ht="13.5" customHeight="1" x14ac:dyDescent="0.3">
      <c r="A457" s="1"/>
      <c r="B457" s="181"/>
      <c r="C457" s="181"/>
      <c r="D457" s="181"/>
      <c r="E457" s="182"/>
      <c r="F457" s="182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  <c r="AC457" s="181"/>
      <c r="AD457" s="181"/>
      <c r="AE457" s="181"/>
      <c r="AF457" s="181"/>
      <c r="AG457" s="181"/>
      <c r="AH457" s="181"/>
      <c r="AI457" s="181"/>
      <c r="AJ457" s="181"/>
      <c r="AK457" s="181"/>
      <c r="AL457" s="181"/>
      <c r="AM457" s="181"/>
      <c r="AN457" s="181"/>
      <c r="AO457" s="181"/>
      <c r="AP457" s="181"/>
      <c r="AQ457" s="181"/>
      <c r="AR457" s="181"/>
      <c r="AS457" s="181"/>
      <c r="AT457" s="181"/>
      <c r="AU457" s="181"/>
      <c r="AV457" s="181"/>
      <c r="AW457" s="181"/>
    </row>
    <row r="458" spans="1:49" ht="13.5" customHeight="1" x14ac:dyDescent="0.3">
      <c r="A458" s="1"/>
      <c r="B458" s="181"/>
      <c r="C458" s="181"/>
      <c r="D458" s="181"/>
      <c r="E458" s="182"/>
      <c r="F458" s="182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  <c r="AC458" s="181"/>
      <c r="AD458" s="181"/>
      <c r="AE458" s="181"/>
      <c r="AF458" s="181"/>
      <c r="AG458" s="181"/>
      <c r="AH458" s="181"/>
      <c r="AI458" s="181"/>
      <c r="AJ458" s="181"/>
      <c r="AK458" s="181"/>
      <c r="AL458" s="181"/>
      <c r="AM458" s="181"/>
      <c r="AN458" s="181"/>
      <c r="AO458" s="181"/>
      <c r="AP458" s="181"/>
      <c r="AQ458" s="181"/>
      <c r="AR458" s="181"/>
      <c r="AS458" s="181"/>
      <c r="AT458" s="181"/>
      <c r="AU458" s="181"/>
      <c r="AV458" s="181"/>
      <c r="AW458" s="181"/>
    </row>
    <row r="459" spans="1:49" ht="13.5" customHeight="1" x14ac:dyDescent="0.3">
      <c r="A459" s="1"/>
      <c r="B459" s="181"/>
      <c r="C459" s="181"/>
      <c r="D459" s="181"/>
      <c r="E459" s="182"/>
      <c r="F459" s="182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  <c r="AC459" s="181"/>
      <c r="AD459" s="181"/>
      <c r="AE459" s="181"/>
      <c r="AF459" s="181"/>
      <c r="AG459" s="181"/>
      <c r="AH459" s="181"/>
      <c r="AI459" s="181"/>
      <c r="AJ459" s="181"/>
      <c r="AK459" s="181"/>
      <c r="AL459" s="181"/>
      <c r="AM459" s="181"/>
      <c r="AN459" s="181"/>
      <c r="AO459" s="181"/>
      <c r="AP459" s="181"/>
      <c r="AQ459" s="181"/>
      <c r="AR459" s="181"/>
      <c r="AS459" s="181"/>
      <c r="AT459" s="181"/>
      <c r="AU459" s="181"/>
      <c r="AV459" s="181"/>
      <c r="AW459" s="181"/>
    </row>
    <row r="460" spans="1:49" ht="13.5" customHeight="1" x14ac:dyDescent="0.3">
      <c r="A460" s="1"/>
      <c r="B460" s="181"/>
      <c r="C460" s="181"/>
      <c r="D460" s="181"/>
      <c r="E460" s="182"/>
      <c r="F460" s="182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  <c r="AC460" s="181"/>
      <c r="AD460" s="181"/>
      <c r="AE460" s="181"/>
      <c r="AF460" s="181"/>
      <c r="AG460" s="181"/>
      <c r="AH460" s="181"/>
      <c r="AI460" s="181"/>
      <c r="AJ460" s="181"/>
      <c r="AK460" s="181"/>
      <c r="AL460" s="181"/>
      <c r="AM460" s="181"/>
      <c r="AN460" s="181"/>
      <c r="AO460" s="181"/>
      <c r="AP460" s="181"/>
      <c r="AQ460" s="181"/>
      <c r="AR460" s="181"/>
      <c r="AS460" s="181"/>
      <c r="AT460" s="181"/>
      <c r="AU460" s="181"/>
      <c r="AV460" s="181"/>
      <c r="AW460" s="181"/>
    </row>
    <row r="461" spans="1:49" ht="13.5" customHeight="1" x14ac:dyDescent="0.3">
      <c r="A461" s="1"/>
      <c r="B461" s="181"/>
      <c r="C461" s="181"/>
      <c r="D461" s="181"/>
      <c r="E461" s="182"/>
      <c r="F461" s="182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  <c r="AC461" s="181"/>
      <c r="AD461" s="181"/>
      <c r="AE461" s="181"/>
      <c r="AF461" s="181"/>
      <c r="AG461" s="181"/>
      <c r="AH461" s="181"/>
      <c r="AI461" s="181"/>
      <c r="AJ461" s="181"/>
      <c r="AK461" s="181"/>
      <c r="AL461" s="181"/>
      <c r="AM461" s="181"/>
      <c r="AN461" s="181"/>
      <c r="AO461" s="181"/>
      <c r="AP461" s="181"/>
      <c r="AQ461" s="181"/>
      <c r="AR461" s="181"/>
      <c r="AS461" s="181"/>
      <c r="AT461" s="181"/>
      <c r="AU461" s="181"/>
      <c r="AV461" s="181"/>
      <c r="AW461" s="181"/>
    </row>
    <row r="462" spans="1:49" ht="13.5" customHeight="1" x14ac:dyDescent="0.3">
      <c r="A462" s="1"/>
      <c r="B462" s="181"/>
      <c r="C462" s="181"/>
      <c r="D462" s="181"/>
      <c r="E462" s="182"/>
      <c r="F462" s="182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  <c r="AC462" s="181"/>
      <c r="AD462" s="181"/>
      <c r="AE462" s="181"/>
      <c r="AF462" s="181"/>
      <c r="AG462" s="181"/>
      <c r="AH462" s="181"/>
      <c r="AI462" s="181"/>
      <c r="AJ462" s="181"/>
      <c r="AK462" s="181"/>
      <c r="AL462" s="181"/>
      <c r="AM462" s="181"/>
      <c r="AN462" s="181"/>
      <c r="AO462" s="181"/>
      <c r="AP462" s="181"/>
      <c r="AQ462" s="181"/>
      <c r="AR462" s="181"/>
      <c r="AS462" s="181"/>
      <c r="AT462" s="181"/>
      <c r="AU462" s="181"/>
      <c r="AV462" s="181"/>
      <c r="AW462" s="181"/>
    </row>
    <row r="463" spans="1:49" ht="13.5" customHeight="1" x14ac:dyDescent="0.3">
      <c r="A463" s="1"/>
      <c r="B463" s="181"/>
      <c r="C463" s="181"/>
      <c r="D463" s="181"/>
      <c r="E463" s="182"/>
      <c r="F463" s="182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  <c r="AC463" s="181"/>
      <c r="AD463" s="181"/>
      <c r="AE463" s="181"/>
      <c r="AF463" s="181"/>
      <c r="AG463" s="181"/>
      <c r="AH463" s="181"/>
      <c r="AI463" s="181"/>
      <c r="AJ463" s="181"/>
      <c r="AK463" s="181"/>
      <c r="AL463" s="181"/>
      <c r="AM463" s="181"/>
      <c r="AN463" s="181"/>
      <c r="AO463" s="181"/>
      <c r="AP463" s="181"/>
      <c r="AQ463" s="181"/>
      <c r="AR463" s="181"/>
      <c r="AS463" s="181"/>
      <c r="AT463" s="181"/>
      <c r="AU463" s="181"/>
      <c r="AV463" s="181"/>
      <c r="AW463" s="181"/>
    </row>
    <row r="464" spans="1:49" ht="13.5" customHeight="1" x14ac:dyDescent="0.3">
      <c r="A464" s="1"/>
      <c r="B464" s="181"/>
      <c r="C464" s="181"/>
      <c r="D464" s="181"/>
      <c r="E464" s="182"/>
      <c r="F464" s="182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  <c r="AC464" s="181"/>
      <c r="AD464" s="181"/>
      <c r="AE464" s="181"/>
      <c r="AF464" s="181"/>
      <c r="AG464" s="181"/>
      <c r="AH464" s="181"/>
      <c r="AI464" s="181"/>
      <c r="AJ464" s="181"/>
      <c r="AK464" s="181"/>
      <c r="AL464" s="181"/>
      <c r="AM464" s="181"/>
      <c r="AN464" s="181"/>
      <c r="AO464" s="181"/>
      <c r="AP464" s="181"/>
      <c r="AQ464" s="181"/>
      <c r="AR464" s="181"/>
      <c r="AS464" s="181"/>
      <c r="AT464" s="181"/>
      <c r="AU464" s="181"/>
      <c r="AV464" s="181"/>
      <c r="AW464" s="181"/>
    </row>
    <row r="465" spans="1:49" ht="13.5" customHeight="1" x14ac:dyDescent="0.3">
      <c r="A465" s="1"/>
      <c r="B465" s="181"/>
      <c r="C465" s="181"/>
      <c r="D465" s="181"/>
      <c r="E465" s="182"/>
      <c r="F465" s="182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  <c r="AC465" s="181"/>
      <c r="AD465" s="181"/>
      <c r="AE465" s="181"/>
      <c r="AF465" s="181"/>
      <c r="AG465" s="181"/>
      <c r="AH465" s="181"/>
      <c r="AI465" s="181"/>
      <c r="AJ465" s="181"/>
      <c r="AK465" s="181"/>
      <c r="AL465" s="181"/>
      <c r="AM465" s="181"/>
      <c r="AN465" s="181"/>
      <c r="AO465" s="181"/>
      <c r="AP465" s="181"/>
      <c r="AQ465" s="181"/>
      <c r="AR465" s="181"/>
      <c r="AS465" s="181"/>
      <c r="AT465" s="181"/>
      <c r="AU465" s="181"/>
      <c r="AV465" s="181"/>
      <c r="AW465" s="181"/>
    </row>
    <row r="466" spans="1:49" ht="13.5" customHeight="1" x14ac:dyDescent="0.3">
      <c r="A466" s="1"/>
      <c r="B466" s="181"/>
      <c r="C466" s="181"/>
      <c r="D466" s="181"/>
      <c r="E466" s="182"/>
      <c r="F466" s="182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  <c r="AC466" s="181"/>
      <c r="AD466" s="181"/>
      <c r="AE466" s="181"/>
      <c r="AF466" s="181"/>
      <c r="AG466" s="181"/>
      <c r="AH466" s="181"/>
      <c r="AI466" s="181"/>
      <c r="AJ466" s="181"/>
      <c r="AK466" s="181"/>
      <c r="AL466" s="181"/>
      <c r="AM466" s="181"/>
      <c r="AN466" s="181"/>
      <c r="AO466" s="181"/>
      <c r="AP466" s="181"/>
      <c r="AQ466" s="181"/>
      <c r="AR466" s="181"/>
      <c r="AS466" s="181"/>
      <c r="AT466" s="181"/>
      <c r="AU466" s="181"/>
      <c r="AV466" s="181"/>
      <c r="AW466" s="181"/>
    </row>
    <row r="467" spans="1:49" ht="13.5" customHeight="1" x14ac:dyDescent="0.3">
      <c r="A467" s="1"/>
      <c r="B467" s="181"/>
      <c r="C467" s="181"/>
      <c r="D467" s="181"/>
      <c r="E467" s="182"/>
      <c r="F467" s="182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  <c r="AC467" s="181"/>
      <c r="AD467" s="181"/>
      <c r="AE467" s="181"/>
      <c r="AF467" s="181"/>
      <c r="AG467" s="181"/>
      <c r="AH467" s="181"/>
      <c r="AI467" s="181"/>
      <c r="AJ467" s="181"/>
      <c r="AK467" s="181"/>
      <c r="AL467" s="181"/>
      <c r="AM467" s="181"/>
      <c r="AN467" s="181"/>
      <c r="AO467" s="181"/>
      <c r="AP467" s="181"/>
      <c r="AQ467" s="181"/>
      <c r="AR467" s="181"/>
      <c r="AS467" s="181"/>
      <c r="AT467" s="181"/>
      <c r="AU467" s="181"/>
      <c r="AV467" s="181"/>
      <c r="AW467" s="181"/>
    </row>
    <row r="468" spans="1:49" ht="13.5" customHeight="1" x14ac:dyDescent="0.3">
      <c r="A468" s="1"/>
      <c r="B468" s="181"/>
      <c r="C468" s="181"/>
      <c r="D468" s="181"/>
      <c r="E468" s="182"/>
      <c r="F468" s="182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  <c r="AC468" s="181"/>
      <c r="AD468" s="181"/>
      <c r="AE468" s="181"/>
      <c r="AF468" s="181"/>
      <c r="AG468" s="181"/>
      <c r="AH468" s="181"/>
      <c r="AI468" s="181"/>
      <c r="AJ468" s="181"/>
      <c r="AK468" s="181"/>
      <c r="AL468" s="181"/>
      <c r="AM468" s="181"/>
      <c r="AN468" s="181"/>
      <c r="AO468" s="181"/>
      <c r="AP468" s="181"/>
      <c r="AQ468" s="181"/>
      <c r="AR468" s="181"/>
      <c r="AS468" s="181"/>
      <c r="AT468" s="181"/>
      <c r="AU468" s="181"/>
      <c r="AV468" s="181"/>
      <c r="AW468" s="181"/>
    </row>
    <row r="469" spans="1:49" ht="13.5" customHeight="1" x14ac:dyDescent="0.3">
      <c r="A469" s="1"/>
      <c r="B469" s="181"/>
      <c r="C469" s="181"/>
      <c r="D469" s="181"/>
      <c r="E469" s="182"/>
      <c r="F469" s="182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  <c r="AC469" s="181"/>
      <c r="AD469" s="181"/>
      <c r="AE469" s="181"/>
      <c r="AF469" s="181"/>
      <c r="AG469" s="181"/>
      <c r="AH469" s="181"/>
      <c r="AI469" s="181"/>
      <c r="AJ469" s="181"/>
      <c r="AK469" s="181"/>
      <c r="AL469" s="181"/>
      <c r="AM469" s="181"/>
      <c r="AN469" s="181"/>
      <c r="AO469" s="181"/>
      <c r="AP469" s="181"/>
      <c r="AQ469" s="181"/>
      <c r="AR469" s="181"/>
      <c r="AS469" s="181"/>
      <c r="AT469" s="181"/>
      <c r="AU469" s="181"/>
      <c r="AV469" s="181"/>
      <c r="AW469" s="181"/>
    </row>
    <row r="470" spans="1:49" ht="13.5" customHeight="1" x14ac:dyDescent="0.3">
      <c r="A470" s="1"/>
      <c r="B470" s="181"/>
      <c r="C470" s="181"/>
      <c r="D470" s="181"/>
      <c r="E470" s="182"/>
      <c r="F470" s="182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  <c r="AC470" s="181"/>
      <c r="AD470" s="181"/>
      <c r="AE470" s="181"/>
      <c r="AF470" s="181"/>
      <c r="AG470" s="181"/>
      <c r="AH470" s="181"/>
      <c r="AI470" s="181"/>
      <c r="AJ470" s="181"/>
      <c r="AK470" s="181"/>
      <c r="AL470" s="181"/>
      <c r="AM470" s="181"/>
      <c r="AN470" s="181"/>
      <c r="AO470" s="181"/>
      <c r="AP470" s="181"/>
      <c r="AQ470" s="181"/>
      <c r="AR470" s="181"/>
      <c r="AS470" s="181"/>
      <c r="AT470" s="181"/>
      <c r="AU470" s="181"/>
      <c r="AV470" s="181"/>
      <c r="AW470" s="181"/>
    </row>
    <row r="471" spans="1:49" ht="13.5" customHeight="1" x14ac:dyDescent="0.3">
      <c r="A471" s="1"/>
      <c r="B471" s="181"/>
      <c r="C471" s="181"/>
      <c r="D471" s="181"/>
      <c r="E471" s="182"/>
      <c r="F471" s="182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  <c r="AC471" s="181"/>
      <c r="AD471" s="181"/>
      <c r="AE471" s="181"/>
      <c r="AF471" s="181"/>
      <c r="AG471" s="181"/>
      <c r="AH471" s="181"/>
      <c r="AI471" s="181"/>
      <c r="AJ471" s="181"/>
      <c r="AK471" s="181"/>
      <c r="AL471" s="181"/>
      <c r="AM471" s="181"/>
      <c r="AN471" s="181"/>
      <c r="AO471" s="181"/>
      <c r="AP471" s="181"/>
      <c r="AQ471" s="181"/>
      <c r="AR471" s="181"/>
      <c r="AS471" s="181"/>
      <c r="AT471" s="181"/>
      <c r="AU471" s="181"/>
      <c r="AV471" s="181"/>
      <c r="AW471" s="181"/>
    </row>
    <row r="472" spans="1:49" ht="13.5" customHeight="1" x14ac:dyDescent="0.3">
      <c r="A472" s="1"/>
      <c r="B472" s="181"/>
      <c r="C472" s="181"/>
      <c r="D472" s="181"/>
      <c r="E472" s="182"/>
      <c r="F472" s="182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  <c r="AC472" s="181"/>
      <c r="AD472" s="181"/>
      <c r="AE472" s="181"/>
      <c r="AF472" s="181"/>
      <c r="AG472" s="181"/>
      <c r="AH472" s="181"/>
      <c r="AI472" s="181"/>
      <c r="AJ472" s="181"/>
      <c r="AK472" s="181"/>
      <c r="AL472" s="181"/>
      <c r="AM472" s="181"/>
      <c r="AN472" s="181"/>
      <c r="AO472" s="181"/>
      <c r="AP472" s="181"/>
      <c r="AQ472" s="181"/>
      <c r="AR472" s="181"/>
      <c r="AS472" s="181"/>
      <c r="AT472" s="181"/>
      <c r="AU472" s="181"/>
      <c r="AV472" s="181"/>
      <c r="AW472" s="181"/>
    </row>
    <row r="473" spans="1:49" ht="13.5" customHeight="1" x14ac:dyDescent="0.3">
      <c r="A473" s="1"/>
      <c r="B473" s="181"/>
      <c r="C473" s="181"/>
      <c r="D473" s="181"/>
      <c r="E473" s="182"/>
      <c r="F473" s="182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  <c r="AC473" s="181"/>
      <c r="AD473" s="181"/>
      <c r="AE473" s="181"/>
      <c r="AF473" s="181"/>
      <c r="AG473" s="181"/>
      <c r="AH473" s="181"/>
      <c r="AI473" s="181"/>
      <c r="AJ473" s="181"/>
      <c r="AK473" s="181"/>
      <c r="AL473" s="181"/>
      <c r="AM473" s="181"/>
      <c r="AN473" s="181"/>
      <c r="AO473" s="181"/>
      <c r="AP473" s="181"/>
      <c r="AQ473" s="181"/>
      <c r="AR473" s="181"/>
      <c r="AS473" s="181"/>
      <c r="AT473" s="181"/>
      <c r="AU473" s="181"/>
      <c r="AV473" s="181"/>
      <c r="AW473" s="181"/>
    </row>
    <row r="474" spans="1:49" ht="13.5" customHeight="1" x14ac:dyDescent="0.3">
      <c r="A474" s="1"/>
      <c r="B474" s="181"/>
      <c r="C474" s="181"/>
      <c r="D474" s="181"/>
      <c r="E474" s="182"/>
      <c r="F474" s="182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  <c r="AC474" s="181"/>
      <c r="AD474" s="181"/>
      <c r="AE474" s="181"/>
      <c r="AF474" s="181"/>
      <c r="AG474" s="181"/>
      <c r="AH474" s="181"/>
      <c r="AI474" s="181"/>
      <c r="AJ474" s="181"/>
      <c r="AK474" s="181"/>
      <c r="AL474" s="181"/>
      <c r="AM474" s="181"/>
      <c r="AN474" s="181"/>
      <c r="AO474" s="181"/>
      <c r="AP474" s="181"/>
      <c r="AQ474" s="181"/>
      <c r="AR474" s="181"/>
      <c r="AS474" s="181"/>
      <c r="AT474" s="181"/>
      <c r="AU474" s="181"/>
      <c r="AV474" s="181"/>
      <c r="AW474" s="181"/>
    </row>
    <row r="475" spans="1:49" ht="13.5" customHeight="1" x14ac:dyDescent="0.3">
      <c r="A475" s="1"/>
      <c r="B475" s="181"/>
      <c r="C475" s="181"/>
      <c r="D475" s="181"/>
      <c r="E475" s="182"/>
      <c r="F475" s="182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  <c r="AC475" s="181"/>
      <c r="AD475" s="181"/>
      <c r="AE475" s="181"/>
      <c r="AF475" s="181"/>
      <c r="AG475" s="181"/>
      <c r="AH475" s="181"/>
      <c r="AI475" s="181"/>
      <c r="AJ475" s="181"/>
      <c r="AK475" s="181"/>
      <c r="AL475" s="181"/>
      <c r="AM475" s="181"/>
      <c r="AN475" s="181"/>
      <c r="AO475" s="181"/>
      <c r="AP475" s="181"/>
      <c r="AQ475" s="181"/>
      <c r="AR475" s="181"/>
      <c r="AS475" s="181"/>
      <c r="AT475" s="181"/>
      <c r="AU475" s="181"/>
      <c r="AV475" s="181"/>
      <c r="AW475" s="181"/>
    </row>
    <row r="476" spans="1:49" ht="13.5" customHeight="1" x14ac:dyDescent="0.3">
      <c r="A476" s="1"/>
      <c r="B476" s="181"/>
      <c r="C476" s="181"/>
      <c r="D476" s="181"/>
      <c r="E476" s="182"/>
      <c r="F476" s="182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  <c r="AC476" s="181"/>
      <c r="AD476" s="181"/>
      <c r="AE476" s="181"/>
      <c r="AF476" s="181"/>
      <c r="AG476" s="181"/>
      <c r="AH476" s="181"/>
      <c r="AI476" s="181"/>
      <c r="AJ476" s="181"/>
      <c r="AK476" s="181"/>
      <c r="AL476" s="181"/>
      <c r="AM476" s="181"/>
      <c r="AN476" s="181"/>
      <c r="AO476" s="181"/>
      <c r="AP476" s="181"/>
      <c r="AQ476" s="181"/>
      <c r="AR476" s="181"/>
      <c r="AS476" s="181"/>
      <c r="AT476" s="181"/>
      <c r="AU476" s="181"/>
      <c r="AV476" s="181"/>
      <c r="AW476" s="181"/>
    </row>
    <row r="477" spans="1:49" ht="13.5" customHeight="1" x14ac:dyDescent="0.3">
      <c r="A477" s="1"/>
      <c r="B477" s="181"/>
      <c r="C477" s="181"/>
      <c r="D477" s="181"/>
      <c r="E477" s="182"/>
      <c r="F477" s="182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  <c r="AC477" s="181"/>
      <c r="AD477" s="181"/>
      <c r="AE477" s="181"/>
      <c r="AF477" s="181"/>
      <c r="AG477" s="181"/>
      <c r="AH477" s="181"/>
      <c r="AI477" s="181"/>
      <c r="AJ477" s="181"/>
      <c r="AK477" s="181"/>
      <c r="AL477" s="181"/>
      <c r="AM477" s="181"/>
      <c r="AN477" s="181"/>
      <c r="AO477" s="181"/>
      <c r="AP477" s="181"/>
      <c r="AQ477" s="181"/>
      <c r="AR477" s="181"/>
      <c r="AS477" s="181"/>
      <c r="AT477" s="181"/>
      <c r="AU477" s="181"/>
      <c r="AV477" s="181"/>
      <c r="AW477" s="181"/>
    </row>
    <row r="478" spans="1:49" ht="13.5" customHeight="1" x14ac:dyDescent="0.3">
      <c r="A478" s="1"/>
      <c r="B478" s="181"/>
      <c r="C478" s="181"/>
      <c r="D478" s="181"/>
      <c r="E478" s="182"/>
      <c r="F478" s="182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  <c r="AC478" s="181"/>
      <c r="AD478" s="181"/>
      <c r="AE478" s="181"/>
      <c r="AF478" s="181"/>
      <c r="AG478" s="181"/>
      <c r="AH478" s="181"/>
      <c r="AI478" s="181"/>
      <c r="AJ478" s="181"/>
      <c r="AK478" s="181"/>
      <c r="AL478" s="181"/>
      <c r="AM478" s="181"/>
      <c r="AN478" s="181"/>
      <c r="AO478" s="181"/>
      <c r="AP478" s="181"/>
      <c r="AQ478" s="181"/>
      <c r="AR478" s="181"/>
      <c r="AS478" s="181"/>
      <c r="AT478" s="181"/>
      <c r="AU478" s="181"/>
      <c r="AV478" s="181"/>
      <c r="AW478" s="181"/>
    </row>
    <row r="479" spans="1:49" ht="13.5" customHeight="1" x14ac:dyDescent="0.3">
      <c r="A479" s="1"/>
      <c r="B479" s="181"/>
      <c r="C479" s="181"/>
      <c r="D479" s="181"/>
      <c r="E479" s="182"/>
      <c r="F479" s="182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  <c r="AC479" s="181"/>
      <c r="AD479" s="181"/>
      <c r="AE479" s="181"/>
      <c r="AF479" s="181"/>
      <c r="AG479" s="181"/>
      <c r="AH479" s="181"/>
      <c r="AI479" s="181"/>
      <c r="AJ479" s="181"/>
      <c r="AK479" s="181"/>
      <c r="AL479" s="181"/>
      <c r="AM479" s="181"/>
      <c r="AN479" s="181"/>
      <c r="AO479" s="181"/>
      <c r="AP479" s="181"/>
      <c r="AQ479" s="181"/>
      <c r="AR479" s="181"/>
      <c r="AS479" s="181"/>
      <c r="AT479" s="181"/>
      <c r="AU479" s="181"/>
      <c r="AV479" s="181"/>
      <c r="AW479" s="181"/>
    </row>
    <row r="480" spans="1:49" ht="13.5" customHeight="1" x14ac:dyDescent="0.3">
      <c r="A480" s="1"/>
      <c r="B480" s="181"/>
      <c r="C480" s="181"/>
      <c r="D480" s="181"/>
      <c r="E480" s="182"/>
      <c r="F480" s="182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  <c r="AC480" s="181"/>
      <c r="AD480" s="181"/>
      <c r="AE480" s="181"/>
      <c r="AF480" s="181"/>
      <c r="AG480" s="181"/>
      <c r="AH480" s="181"/>
      <c r="AI480" s="181"/>
      <c r="AJ480" s="181"/>
      <c r="AK480" s="181"/>
      <c r="AL480" s="181"/>
      <c r="AM480" s="181"/>
      <c r="AN480" s="181"/>
      <c r="AO480" s="181"/>
      <c r="AP480" s="181"/>
      <c r="AQ480" s="181"/>
      <c r="AR480" s="181"/>
      <c r="AS480" s="181"/>
      <c r="AT480" s="181"/>
      <c r="AU480" s="181"/>
      <c r="AV480" s="181"/>
      <c r="AW480" s="181"/>
    </row>
    <row r="481" spans="1:49" ht="13.5" customHeight="1" x14ac:dyDescent="0.3">
      <c r="A481" s="1"/>
      <c r="B481" s="181"/>
      <c r="C481" s="181"/>
      <c r="D481" s="181"/>
      <c r="E481" s="182"/>
      <c r="F481" s="182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  <c r="AC481" s="181"/>
      <c r="AD481" s="181"/>
      <c r="AE481" s="181"/>
      <c r="AF481" s="181"/>
      <c r="AG481" s="181"/>
      <c r="AH481" s="181"/>
      <c r="AI481" s="181"/>
      <c r="AJ481" s="181"/>
      <c r="AK481" s="181"/>
      <c r="AL481" s="181"/>
      <c r="AM481" s="181"/>
      <c r="AN481" s="181"/>
      <c r="AO481" s="181"/>
      <c r="AP481" s="181"/>
      <c r="AQ481" s="181"/>
      <c r="AR481" s="181"/>
      <c r="AS481" s="181"/>
      <c r="AT481" s="181"/>
      <c r="AU481" s="181"/>
      <c r="AV481" s="181"/>
      <c r="AW481" s="181"/>
    </row>
    <row r="482" spans="1:49" ht="13.5" customHeight="1" x14ac:dyDescent="0.3">
      <c r="A482" s="1"/>
      <c r="B482" s="181"/>
      <c r="C482" s="181"/>
      <c r="D482" s="181"/>
      <c r="E482" s="182"/>
      <c r="F482" s="182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  <c r="AC482" s="181"/>
      <c r="AD482" s="181"/>
      <c r="AE482" s="181"/>
      <c r="AF482" s="181"/>
      <c r="AG482" s="181"/>
      <c r="AH482" s="181"/>
      <c r="AI482" s="181"/>
      <c r="AJ482" s="181"/>
      <c r="AK482" s="181"/>
      <c r="AL482" s="181"/>
      <c r="AM482" s="181"/>
      <c r="AN482" s="181"/>
      <c r="AO482" s="181"/>
      <c r="AP482" s="181"/>
      <c r="AQ482" s="181"/>
      <c r="AR482" s="181"/>
      <c r="AS482" s="181"/>
      <c r="AT482" s="181"/>
      <c r="AU482" s="181"/>
      <c r="AV482" s="181"/>
      <c r="AW482" s="181"/>
    </row>
    <row r="483" spans="1:49" ht="13.5" customHeight="1" x14ac:dyDescent="0.3">
      <c r="A483" s="1"/>
      <c r="B483" s="181"/>
      <c r="C483" s="181"/>
      <c r="D483" s="181"/>
      <c r="E483" s="182"/>
      <c r="F483" s="182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  <c r="AC483" s="181"/>
      <c r="AD483" s="181"/>
      <c r="AE483" s="181"/>
      <c r="AF483" s="181"/>
      <c r="AG483" s="181"/>
      <c r="AH483" s="181"/>
      <c r="AI483" s="181"/>
      <c r="AJ483" s="181"/>
      <c r="AK483" s="181"/>
      <c r="AL483" s="181"/>
      <c r="AM483" s="181"/>
      <c r="AN483" s="181"/>
      <c r="AO483" s="181"/>
      <c r="AP483" s="181"/>
      <c r="AQ483" s="181"/>
      <c r="AR483" s="181"/>
      <c r="AS483" s="181"/>
      <c r="AT483" s="181"/>
      <c r="AU483" s="181"/>
      <c r="AV483" s="181"/>
      <c r="AW483" s="181"/>
    </row>
    <row r="484" spans="1:49" ht="13.5" customHeight="1" x14ac:dyDescent="0.3">
      <c r="A484" s="1"/>
      <c r="B484" s="181"/>
      <c r="C484" s="181"/>
      <c r="D484" s="181"/>
      <c r="E484" s="182"/>
      <c r="F484" s="182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  <c r="AC484" s="181"/>
      <c r="AD484" s="181"/>
      <c r="AE484" s="181"/>
      <c r="AF484" s="181"/>
      <c r="AG484" s="181"/>
      <c r="AH484" s="181"/>
      <c r="AI484" s="181"/>
      <c r="AJ484" s="181"/>
      <c r="AK484" s="181"/>
      <c r="AL484" s="181"/>
      <c r="AM484" s="181"/>
      <c r="AN484" s="181"/>
      <c r="AO484" s="181"/>
      <c r="AP484" s="181"/>
      <c r="AQ484" s="181"/>
      <c r="AR484" s="181"/>
      <c r="AS484" s="181"/>
      <c r="AT484" s="181"/>
      <c r="AU484" s="181"/>
      <c r="AV484" s="181"/>
      <c r="AW484" s="181"/>
    </row>
    <row r="485" spans="1:49" ht="13.5" customHeight="1" x14ac:dyDescent="0.3">
      <c r="A485" s="1"/>
      <c r="B485" s="181"/>
      <c r="C485" s="181"/>
      <c r="D485" s="181"/>
      <c r="E485" s="182"/>
      <c r="F485" s="182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  <c r="AC485" s="181"/>
      <c r="AD485" s="181"/>
      <c r="AE485" s="181"/>
      <c r="AF485" s="181"/>
      <c r="AG485" s="181"/>
      <c r="AH485" s="181"/>
      <c r="AI485" s="181"/>
      <c r="AJ485" s="181"/>
      <c r="AK485" s="181"/>
      <c r="AL485" s="181"/>
      <c r="AM485" s="181"/>
      <c r="AN485" s="181"/>
      <c r="AO485" s="181"/>
      <c r="AP485" s="181"/>
      <c r="AQ485" s="181"/>
      <c r="AR485" s="181"/>
      <c r="AS485" s="181"/>
      <c r="AT485" s="181"/>
      <c r="AU485" s="181"/>
      <c r="AV485" s="181"/>
      <c r="AW485" s="181"/>
    </row>
    <row r="486" spans="1:49" ht="13.5" customHeight="1" x14ac:dyDescent="0.3">
      <c r="A486" s="1"/>
      <c r="B486" s="181"/>
      <c r="C486" s="181"/>
      <c r="D486" s="181"/>
      <c r="E486" s="182"/>
      <c r="F486" s="182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  <c r="AC486" s="181"/>
      <c r="AD486" s="181"/>
      <c r="AE486" s="181"/>
      <c r="AF486" s="181"/>
      <c r="AG486" s="181"/>
      <c r="AH486" s="181"/>
      <c r="AI486" s="181"/>
      <c r="AJ486" s="181"/>
      <c r="AK486" s="181"/>
      <c r="AL486" s="181"/>
      <c r="AM486" s="181"/>
      <c r="AN486" s="181"/>
      <c r="AO486" s="181"/>
      <c r="AP486" s="181"/>
      <c r="AQ486" s="181"/>
      <c r="AR486" s="181"/>
      <c r="AS486" s="181"/>
      <c r="AT486" s="181"/>
      <c r="AU486" s="181"/>
      <c r="AV486" s="181"/>
      <c r="AW486" s="181"/>
    </row>
    <row r="487" spans="1:49" ht="13.5" customHeight="1" x14ac:dyDescent="0.3">
      <c r="A487" s="1"/>
      <c r="B487" s="181"/>
      <c r="C487" s="181"/>
      <c r="D487" s="181"/>
      <c r="E487" s="182"/>
      <c r="F487" s="182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  <c r="AC487" s="181"/>
      <c r="AD487" s="181"/>
      <c r="AE487" s="181"/>
      <c r="AF487" s="181"/>
      <c r="AG487" s="181"/>
      <c r="AH487" s="181"/>
      <c r="AI487" s="181"/>
      <c r="AJ487" s="181"/>
      <c r="AK487" s="181"/>
      <c r="AL487" s="181"/>
      <c r="AM487" s="181"/>
      <c r="AN487" s="181"/>
      <c r="AO487" s="181"/>
      <c r="AP487" s="181"/>
      <c r="AQ487" s="181"/>
      <c r="AR487" s="181"/>
      <c r="AS487" s="181"/>
      <c r="AT487" s="181"/>
      <c r="AU487" s="181"/>
      <c r="AV487" s="181"/>
      <c r="AW487" s="181"/>
    </row>
    <row r="488" spans="1:49" ht="13.5" customHeight="1" x14ac:dyDescent="0.3">
      <c r="A488" s="1"/>
      <c r="B488" s="181"/>
      <c r="C488" s="181"/>
      <c r="D488" s="181"/>
      <c r="E488" s="182"/>
      <c r="F488" s="182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  <c r="AC488" s="181"/>
      <c r="AD488" s="181"/>
      <c r="AE488" s="181"/>
      <c r="AF488" s="181"/>
      <c r="AG488" s="181"/>
      <c r="AH488" s="181"/>
      <c r="AI488" s="181"/>
      <c r="AJ488" s="181"/>
      <c r="AK488" s="181"/>
      <c r="AL488" s="181"/>
      <c r="AM488" s="181"/>
      <c r="AN488" s="181"/>
      <c r="AO488" s="181"/>
      <c r="AP488" s="181"/>
      <c r="AQ488" s="181"/>
      <c r="AR488" s="181"/>
      <c r="AS488" s="181"/>
      <c r="AT488" s="181"/>
      <c r="AU488" s="181"/>
      <c r="AV488" s="181"/>
      <c r="AW488" s="181"/>
    </row>
    <row r="489" spans="1:49" ht="13.5" customHeight="1" x14ac:dyDescent="0.3">
      <c r="A489" s="1"/>
      <c r="B489" s="181"/>
      <c r="C489" s="181"/>
      <c r="D489" s="181"/>
      <c r="E489" s="182"/>
      <c r="F489" s="182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  <c r="AC489" s="181"/>
      <c r="AD489" s="181"/>
      <c r="AE489" s="181"/>
      <c r="AF489" s="181"/>
      <c r="AG489" s="181"/>
      <c r="AH489" s="181"/>
      <c r="AI489" s="181"/>
      <c r="AJ489" s="181"/>
      <c r="AK489" s="181"/>
      <c r="AL489" s="181"/>
      <c r="AM489" s="181"/>
      <c r="AN489" s="181"/>
      <c r="AO489" s="181"/>
      <c r="AP489" s="181"/>
      <c r="AQ489" s="181"/>
      <c r="AR489" s="181"/>
      <c r="AS489" s="181"/>
      <c r="AT489" s="181"/>
      <c r="AU489" s="181"/>
      <c r="AV489" s="181"/>
      <c r="AW489" s="181"/>
    </row>
    <row r="490" spans="1:49" ht="13.5" customHeight="1" x14ac:dyDescent="0.3">
      <c r="A490" s="1"/>
      <c r="B490" s="181"/>
      <c r="C490" s="181"/>
      <c r="D490" s="181"/>
      <c r="E490" s="182"/>
      <c r="F490" s="182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  <c r="AC490" s="181"/>
      <c r="AD490" s="181"/>
      <c r="AE490" s="181"/>
      <c r="AF490" s="181"/>
      <c r="AG490" s="181"/>
      <c r="AH490" s="181"/>
      <c r="AI490" s="181"/>
      <c r="AJ490" s="181"/>
      <c r="AK490" s="181"/>
      <c r="AL490" s="181"/>
      <c r="AM490" s="181"/>
      <c r="AN490" s="181"/>
      <c r="AO490" s="181"/>
      <c r="AP490" s="181"/>
      <c r="AQ490" s="181"/>
      <c r="AR490" s="181"/>
      <c r="AS490" s="181"/>
      <c r="AT490" s="181"/>
      <c r="AU490" s="181"/>
      <c r="AV490" s="181"/>
      <c r="AW490" s="181"/>
    </row>
    <row r="491" spans="1:49" ht="13.5" customHeight="1" x14ac:dyDescent="0.3">
      <c r="A491" s="1"/>
      <c r="B491" s="181"/>
      <c r="C491" s="181"/>
      <c r="D491" s="181"/>
      <c r="E491" s="182"/>
      <c r="F491" s="182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  <c r="AC491" s="181"/>
      <c r="AD491" s="181"/>
      <c r="AE491" s="181"/>
      <c r="AF491" s="181"/>
      <c r="AG491" s="181"/>
      <c r="AH491" s="181"/>
      <c r="AI491" s="181"/>
      <c r="AJ491" s="181"/>
      <c r="AK491" s="181"/>
      <c r="AL491" s="181"/>
      <c r="AM491" s="181"/>
      <c r="AN491" s="181"/>
      <c r="AO491" s="181"/>
      <c r="AP491" s="181"/>
      <c r="AQ491" s="181"/>
      <c r="AR491" s="181"/>
      <c r="AS491" s="181"/>
      <c r="AT491" s="181"/>
      <c r="AU491" s="181"/>
      <c r="AV491" s="181"/>
      <c r="AW491" s="181"/>
    </row>
    <row r="492" spans="1:49" ht="13.5" customHeight="1" x14ac:dyDescent="0.3">
      <c r="A492" s="1"/>
      <c r="B492" s="181"/>
      <c r="C492" s="181"/>
      <c r="D492" s="181"/>
      <c r="E492" s="182"/>
      <c r="F492" s="182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  <c r="AC492" s="181"/>
      <c r="AD492" s="181"/>
      <c r="AE492" s="181"/>
      <c r="AF492" s="181"/>
      <c r="AG492" s="181"/>
      <c r="AH492" s="181"/>
      <c r="AI492" s="181"/>
      <c r="AJ492" s="181"/>
      <c r="AK492" s="181"/>
      <c r="AL492" s="181"/>
      <c r="AM492" s="181"/>
      <c r="AN492" s="181"/>
      <c r="AO492" s="181"/>
      <c r="AP492" s="181"/>
      <c r="AQ492" s="181"/>
      <c r="AR492" s="181"/>
      <c r="AS492" s="181"/>
      <c r="AT492" s="181"/>
      <c r="AU492" s="181"/>
      <c r="AV492" s="181"/>
      <c r="AW492" s="181"/>
    </row>
    <row r="493" spans="1:49" ht="13.5" customHeight="1" x14ac:dyDescent="0.3">
      <c r="A493" s="1"/>
      <c r="B493" s="181"/>
      <c r="C493" s="181"/>
      <c r="D493" s="181"/>
      <c r="E493" s="182"/>
      <c r="F493" s="182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  <c r="AC493" s="181"/>
      <c r="AD493" s="181"/>
      <c r="AE493" s="181"/>
      <c r="AF493" s="181"/>
      <c r="AG493" s="181"/>
      <c r="AH493" s="181"/>
      <c r="AI493" s="181"/>
      <c r="AJ493" s="181"/>
      <c r="AK493" s="181"/>
      <c r="AL493" s="181"/>
      <c r="AM493" s="181"/>
      <c r="AN493" s="181"/>
      <c r="AO493" s="181"/>
      <c r="AP493" s="181"/>
      <c r="AQ493" s="181"/>
      <c r="AR493" s="181"/>
      <c r="AS493" s="181"/>
      <c r="AT493" s="181"/>
      <c r="AU493" s="181"/>
      <c r="AV493" s="181"/>
      <c r="AW493" s="181"/>
    </row>
    <row r="494" spans="1:49" ht="13.5" customHeight="1" x14ac:dyDescent="0.3">
      <c r="A494" s="1"/>
      <c r="B494" s="181"/>
      <c r="C494" s="181"/>
      <c r="D494" s="181"/>
      <c r="E494" s="182"/>
      <c r="F494" s="182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  <c r="AC494" s="181"/>
      <c r="AD494" s="181"/>
      <c r="AE494" s="181"/>
      <c r="AF494" s="181"/>
      <c r="AG494" s="181"/>
      <c r="AH494" s="181"/>
      <c r="AI494" s="181"/>
      <c r="AJ494" s="181"/>
      <c r="AK494" s="181"/>
      <c r="AL494" s="181"/>
      <c r="AM494" s="181"/>
      <c r="AN494" s="181"/>
      <c r="AO494" s="181"/>
      <c r="AP494" s="181"/>
      <c r="AQ494" s="181"/>
      <c r="AR494" s="181"/>
      <c r="AS494" s="181"/>
      <c r="AT494" s="181"/>
      <c r="AU494" s="181"/>
      <c r="AV494" s="181"/>
      <c r="AW494" s="181"/>
    </row>
    <row r="495" spans="1:49" ht="13.5" customHeight="1" x14ac:dyDescent="0.3">
      <c r="A495" s="1"/>
      <c r="B495" s="181"/>
      <c r="C495" s="181"/>
      <c r="D495" s="181"/>
      <c r="E495" s="182"/>
      <c r="F495" s="182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  <c r="AC495" s="181"/>
      <c r="AD495" s="181"/>
      <c r="AE495" s="181"/>
      <c r="AF495" s="181"/>
      <c r="AG495" s="181"/>
      <c r="AH495" s="181"/>
      <c r="AI495" s="181"/>
      <c r="AJ495" s="181"/>
      <c r="AK495" s="181"/>
      <c r="AL495" s="181"/>
      <c r="AM495" s="181"/>
      <c r="AN495" s="181"/>
      <c r="AO495" s="181"/>
      <c r="AP495" s="181"/>
      <c r="AQ495" s="181"/>
      <c r="AR495" s="181"/>
      <c r="AS495" s="181"/>
      <c r="AT495" s="181"/>
      <c r="AU495" s="181"/>
      <c r="AV495" s="181"/>
      <c r="AW495" s="181"/>
    </row>
    <row r="496" spans="1:49" ht="13.5" customHeight="1" x14ac:dyDescent="0.3">
      <c r="A496" s="1"/>
      <c r="B496" s="181"/>
      <c r="C496" s="181"/>
      <c r="D496" s="181"/>
      <c r="E496" s="182"/>
      <c r="F496" s="182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  <c r="AC496" s="181"/>
      <c r="AD496" s="181"/>
      <c r="AE496" s="181"/>
      <c r="AF496" s="181"/>
      <c r="AG496" s="181"/>
      <c r="AH496" s="181"/>
      <c r="AI496" s="181"/>
      <c r="AJ496" s="181"/>
      <c r="AK496" s="181"/>
      <c r="AL496" s="181"/>
      <c r="AM496" s="181"/>
      <c r="AN496" s="181"/>
      <c r="AO496" s="181"/>
      <c r="AP496" s="181"/>
      <c r="AQ496" s="181"/>
      <c r="AR496" s="181"/>
      <c r="AS496" s="181"/>
      <c r="AT496" s="181"/>
      <c r="AU496" s="181"/>
      <c r="AV496" s="181"/>
      <c r="AW496" s="181"/>
    </row>
    <row r="497" spans="1:49" ht="13.5" customHeight="1" x14ac:dyDescent="0.3">
      <c r="A497" s="1"/>
      <c r="B497" s="181"/>
      <c r="C497" s="181"/>
      <c r="D497" s="181"/>
      <c r="E497" s="182"/>
      <c r="F497" s="182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  <c r="AC497" s="181"/>
      <c r="AD497" s="181"/>
      <c r="AE497" s="181"/>
      <c r="AF497" s="181"/>
      <c r="AG497" s="181"/>
      <c r="AH497" s="181"/>
      <c r="AI497" s="181"/>
      <c r="AJ497" s="181"/>
      <c r="AK497" s="181"/>
      <c r="AL497" s="181"/>
      <c r="AM497" s="181"/>
      <c r="AN497" s="181"/>
      <c r="AO497" s="181"/>
      <c r="AP497" s="181"/>
      <c r="AQ497" s="181"/>
      <c r="AR497" s="181"/>
      <c r="AS497" s="181"/>
      <c r="AT497" s="181"/>
      <c r="AU497" s="181"/>
      <c r="AV497" s="181"/>
      <c r="AW497" s="181"/>
    </row>
    <row r="498" spans="1:49" ht="13.5" customHeight="1" x14ac:dyDescent="0.3">
      <c r="A498" s="1"/>
      <c r="B498" s="181"/>
      <c r="C498" s="181"/>
      <c r="D498" s="181"/>
      <c r="E498" s="182"/>
      <c r="F498" s="182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  <c r="AC498" s="181"/>
      <c r="AD498" s="181"/>
      <c r="AE498" s="181"/>
      <c r="AF498" s="181"/>
      <c r="AG498" s="181"/>
      <c r="AH498" s="181"/>
      <c r="AI498" s="181"/>
      <c r="AJ498" s="181"/>
      <c r="AK498" s="181"/>
      <c r="AL498" s="181"/>
      <c r="AM498" s="181"/>
      <c r="AN498" s="181"/>
      <c r="AO498" s="181"/>
      <c r="AP498" s="181"/>
      <c r="AQ498" s="181"/>
      <c r="AR498" s="181"/>
      <c r="AS498" s="181"/>
      <c r="AT498" s="181"/>
      <c r="AU498" s="181"/>
      <c r="AV498" s="181"/>
      <c r="AW498" s="181"/>
    </row>
    <row r="499" spans="1:49" ht="13.5" customHeight="1" x14ac:dyDescent="0.3">
      <c r="A499" s="1"/>
      <c r="B499" s="181"/>
      <c r="C499" s="181"/>
      <c r="D499" s="181"/>
      <c r="E499" s="182"/>
      <c r="F499" s="182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  <c r="AC499" s="181"/>
      <c r="AD499" s="181"/>
      <c r="AE499" s="181"/>
      <c r="AF499" s="181"/>
      <c r="AG499" s="181"/>
      <c r="AH499" s="181"/>
      <c r="AI499" s="181"/>
      <c r="AJ499" s="181"/>
      <c r="AK499" s="181"/>
      <c r="AL499" s="181"/>
      <c r="AM499" s="181"/>
      <c r="AN499" s="181"/>
      <c r="AO499" s="181"/>
      <c r="AP499" s="181"/>
      <c r="AQ499" s="181"/>
      <c r="AR499" s="181"/>
      <c r="AS499" s="181"/>
      <c r="AT499" s="181"/>
      <c r="AU499" s="181"/>
      <c r="AV499" s="181"/>
      <c r="AW499" s="181"/>
    </row>
    <row r="500" spans="1:49" ht="13.5" customHeight="1" x14ac:dyDescent="0.3">
      <c r="A500" s="1"/>
      <c r="B500" s="181"/>
      <c r="C500" s="181"/>
      <c r="D500" s="181"/>
      <c r="E500" s="182"/>
      <c r="F500" s="182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  <c r="AC500" s="181"/>
      <c r="AD500" s="181"/>
      <c r="AE500" s="181"/>
      <c r="AF500" s="181"/>
      <c r="AG500" s="181"/>
      <c r="AH500" s="181"/>
      <c r="AI500" s="181"/>
      <c r="AJ500" s="181"/>
      <c r="AK500" s="181"/>
      <c r="AL500" s="181"/>
      <c r="AM500" s="181"/>
      <c r="AN500" s="181"/>
      <c r="AO500" s="181"/>
      <c r="AP500" s="181"/>
      <c r="AQ500" s="181"/>
      <c r="AR500" s="181"/>
      <c r="AS500" s="181"/>
      <c r="AT500" s="181"/>
      <c r="AU500" s="181"/>
      <c r="AV500" s="181"/>
      <c r="AW500" s="181"/>
    </row>
    <row r="501" spans="1:49" ht="13.5" customHeight="1" x14ac:dyDescent="0.3">
      <c r="A501" s="1"/>
      <c r="B501" s="181"/>
      <c r="C501" s="181"/>
      <c r="D501" s="181"/>
      <c r="E501" s="182"/>
      <c r="F501" s="182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  <c r="AC501" s="181"/>
      <c r="AD501" s="181"/>
      <c r="AE501" s="181"/>
      <c r="AF501" s="181"/>
      <c r="AG501" s="181"/>
      <c r="AH501" s="181"/>
      <c r="AI501" s="181"/>
      <c r="AJ501" s="181"/>
      <c r="AK501" s="181"/>
      <c r="AL501" s="181"/>
      <c r="AM501" s="181"/>
      <c r="AN501" s="181"/>
      <c r="AO501" s="181"/>
      <c r="AP501" s="181"/>
      <c r="AQ501" s="181"/>
      <c r="AR501" s="181"/>
      <c r="AS501" s="181"/>
      <c r="AT501" s="181"/>
      <c r="AU501" s="181"/>
      <c r="AV501" s="181"/>
      <c r="AW501" s="181"/>
    </row>
    <row r="502" spans="1:49" ht="13.5" customHeight="1" x14ac:dyDescent="0.3">
      <c r="A502" s="1"/>
      <c r="B502" s="181"/>
      <c r="C502" s="181"/>
      <c r="D502" s="181"/>
      <c r="E502" s="182"/>
      <c r="F502" s="182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  <c r="AC502" s="181"/>
      <c r="AD502" s="181"/>
      <c r="AE502" s="181"/>
      <c r="AF502" s="181"/>
      <c r="AG502" s="181"/>
      <c r="AH502" s="181"/>
      <c r="AI502" s="181"/>
      <c r="AJ502" s="181"/>
      <c r="AK502" s="181"/>
      <c r="AL502" s="181"/>
      <c r="AM502" s="181"/>
      <c r="AN502" s="181"/>
      <c r="AO502" s="181"/>
      <c r="AP502" s="181"/>
      <c r="AQ502" s="181"/>
      <c r="AR502" s="181"/>
      <c r="AS502" s="181"/>
      <c r="AT502" s="181"/>
      <c r="AU502" s="181"/>
      <c r="AV502" s="181"/>
      <c r="AW502" s="181"/>
    </row>
    <row r="503" spans="1:49" ht="13.5" customHeight="1" x14ac:dyDescent="0.3">
      <c r="A503" s="1"/>
      <c r="B503" s="181"/>
      <c r="C503" s="181"/>
      <c r="D503" s="181"/>
      <c r="E503" s="182"/>
      <c r="F503" s="182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  <c r="AC503" s="181"/>
      <c r="AD503" s="181"/>
      <c r="AE503" s="181"/>
      <c r="AF503" s="181"/>
      <c r="AG503" s="181"/>
      <c r="AH503" s="181"/>
      <c r="AI503" s="181"/>
      <c r="AJ503" s="181"/>
      <c r="AK503" s="181"/>
      <c r="AL503" s="181"/>
      <c r="AM503" s="181"/>
      <c r="AN503" s="181"/>
      <c r="AO503" s="181"/>
      <c r="AP503" s="181"/>
      <c r="AQ503" s="181"/>
      <c r="AR503" s="181"/>
      <c r="AS503" s="181"/>
      <c r="AT503" s="181"/>
      <c r="AU503" s="181"/>
      <c r="AV503" s="181"/>
      <c r="AW503" s="181"/>
    </row>
    <row r="504" spans="1:49" ht="13.5" customHeight="1" x14ac:dyDescent="0.3">
      <c r="A504" s="1"/>
      <c r="B504" s="181"/>
      <c r="C504" s="181"/>
      <c r="D504" s="181"/>
      <c r="E504" s="182"/>
      <c r="F504" s="182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  <c r="AC504" s="181"/>
      <c r="AD504" s="181"/>
      <c r="AE504" s="181"/>
      <c r="AF504" s="181"/>
      <c r="AG504" s="181"/>
      <c r="AH504" s="181"/>
      <c r="AI504" s="181"/>
      <c r="AJ504" s="181"/>
      <c r="AK504" s="181"/>
      <c r="AL504" s="181"/>
      <c r="AM504" s="181"/>
      <c r="AN504" s="181"/>
      <c r="AO504" s="181"/>
      <c r="AP504" s="181"/>
      <c r="AQ504" s="181"/>
      <c r="AR504" s="181"/>
      <c r="AS504" s="181"/>
      <c r="AT504" s="181"/>
      <c r="AU504" s="181"/>
      <c r="AV504" s="181"/>
      <c r="AW504" s="181"/>
    </row>
    <row r="505" spans="1:49" ht="13.5" customHeight="1" x14ac:dyDescent="0.3">
      <c r="A505" s="1"/>
      <c r="B505" s="181"/>
      <c r="C505" s="181"/>
      <c r="D505" s="181"/>
      <c r="E505" s="182"/>
      <c r="F505" s="182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  <c r="AC505" s="181"/>
      <c r="AD505" s="181"/>
      <c r="AE505" s="181"/>
      <c r="AF505" s="181"/>
      <c r="AG505" s="181"/>
      <c r="AH505" s="181"/>
      <c r="AI505" s="181"/>
      <c r="AJ505" s="181"/>
      <c r="AK505" s="181"/>
      <c r="AL505" s="181"/>
      <c r="AM505" s="181"/>
      <c r="AN505" s="181"/>
      <c r="AO505" s="181"/>
      <c r="AP505" s="181"/>
      <c r="AQ505" s="181"/>
      <c r="AR505" s="181"/>
      <c r="AS505" s="181"/>
      <c r="AT505" s="181"/>
      <c r="AU505" s="181"/>
      <c r="AV505" s="181"/>
      <c r="AW505" s="181"/>
    </row>
    <row r="506" spans="1:49" ht="13.5" customHeight="1" x14ac:dyDescent="0.3">
      <c r="A506" s="1"/>
      <c r="B506" s="181"/>
      <c r="C506" s="181"/>
      <c r="D506" s="181"/>
      <c r="E506" s="182"/>
      <c r="F506" s="182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  <c r="AC506" s="181"/>
      <c r="AD506" s="181"/>
      <c r="AE506" s="181"/>
      <c r="AF506" s="181"/>
      <c r="AG506" s="181"/>
      <c r="AH506" s="181"/>
      <c r="AI506" s="181"/>
      <c r="AJ506" s="181"/>
      <c r="AK506" s="181"/>
      <c r="AL506" s="181"/>
      <c r="AM506" s="181"/>
      <c r="AN506" s="181"/>
      <c r="AO506" s="181"/>
      <c r="AP506" s="181"/>
      <c r="AQ506" s="181"/>
      <c r="AR506" s="181"/>
      <c r="AS506" s="181"/>
      <c r="AT506" s="181"/>
      <c r="AU506" s="181"/>
      <c r="AV506" s="181"/>
      <c r="AW506" s="181"/>
    </row>
    <row r="507" spans="1:49" ht="13.5" customHeight="1" x14ac:dyDescent="0.3">
      <c r="A507" s="1"/>
      <c r="B507" s="181"/>
      <c r="C507" s="181"/>
      <c r="D507" s="181"/>
      <c r="E507" s="182"/>
      <c r="F507" s="182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  <c r="AC507" s="181"/>
      <c r="AD507" s="181"/>
      <c r="AE507" s="181"/>
      <c r="AF507" s="181"/>
      <c r="AG507" s="181"/>
      <c r="AH507" s="181"/>
      <c r="AI507" s="181"/>
      <c r="AJ507" s="181"/>
      <c r="AK507" s="181"/>
      <c r="AL507" s="181"/>
      <c r="AM507" s="181"/>
      <c r="AN507" s="181"/>
      <c r="AO507" s="181"/>
      <c r="AP507" s="181"/>
      <c r="AQ507" s="181"/>
      <c r="AR507" s="181"/>
      <c r="AS507" s="181"/>
      <c r="AT507" s="181"/>
      <c r="AU507" s="181"/>
      <c r="AV507" s="181"/>
      <c r="AW507" s="181"/>
    </row>
    <row r="508" spans="1:49" ht="13.5" customHeight="1" x14ac:dyDescent="0.3">
      <c r="A508" s="1"/>
      <c r="B508" s="181"/>
      <c r="C508" s="181"/>
      <c r="D508" s="181"/>
      <c r="E508" s="182"/>
      <c r="F508" s="182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  <c r="AC508" s="181"/>
      <c r="AD508" s="181"/>
      <c r="AE508" s="181"/>
      <c r="AF508" s="181"/>
      <c r="AG508" s="181"/>
      <c r="AH508" s="181"/>
      <c r="AI508" s="181"/>
      <c r="AJ508" s="181"/>
      <c r="AK508" s="181"/>
      <c r="AL508" s="181"/>
      <c r="AM508" s="181"/>
      <c r="AN508" s="181"/>
      <c r="AO508" s="181"/>
      <c r="AP508" s="181"/>
      <c r="AQ508" s="181"/>
      <c r="AR508" s="181"/>
      <c r="AS508" s="181"/>
      <c r="AT508" s="181"/>
      <c r="AU508" s="181"/>
      <c r="AV508" s="181"/>
      <c r="AW508" s="181"/>
    </row>
    <row r="509" spans="1:49" ht="13.5" customHeight="1" x14ac:dyDescent="0.3">
      <c r="A509" s="1"/>
      <c r="B509" s="181"/>
      <c r="C509" s="181"/>
      <c r="D509" s="181"/>
      <c r="E509" s="182"/>
      <c r="F509" s="182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  <c r="AC509" s="181"/>
      <c r="AD509" s="181"/>
      <c r="AE509" s="181"/>
      <c r="AF509" s="181"/>
      <c r="AG509" s="181"/>
      <c r="AH509" s="181"/>
      <c r="AI509" s="181"/>
      <c r="AJ509" s="181"/>
      <c r="AK509" s="181"/>
      <c r="AL509" s="181"/>
      <c r="AM509" s="181"/>
      <c r="AN509" s="181"/>
      <c r="AO509" s="181"/>
      <c r="AP509" s="181"/>
      <c r="AQ509" s="181"/>
      <c r="AR509" s="181"/>
      <c r="AS509" s="181"/>
      <c r="AT509" s="181"/>
      <c r="AU509" s="181"/>
      <c r="AV509" s="181"/>
      <c r="AW509" s="181"/>
    </row>
    <row r="510" spans="1:49" ht="13.5" customHeight="1" x14ac:dyDescent="0.3">
      <c r="A510" s="1"/>
      <c r="B510" s="181"/>
      <c r="C510" s="181"/>
      <c r="D510" s="181"/>
      <c r="E510" s="182"/>
      <c r="F510" s="182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  <c r="AC510" s="181"/>
      <c r="AD510" s="181"/>
      <c r="AE510" s="181"/>
      <c r="AF510" s="181"/>
      <c r="AG510" s="181"/>
      <c r="AH510" s="181"/>
      <c r="AI510" s="181"/>
      <c r="AJ510" s="181"/>
      <c r="AK510" s="181"/>
      <c r="AL510" s="181"/>
      <c r="AM510" s="181"/>
      <c r="AN510" s="181"/>
      <c r="AO510" s="181"/>
      <c r="AP510" s="181"/>
      <c r="AQ510" s="181"/>
      <c r="AR510" s="181"/>
      <c r="AS510" s="181"/>
      <c r="AT510" s="181"/>
      <c r="AU510" s="181"/>
      <c r="AV510" s="181"/>
      <c r="AW510" s="181"/>
    </row>
    <row r="511" spans="1:49" ht="13.5" customHeight="1" x14ac:dyDescent="0.3">
      <c r="A511" s="1"/>
      <c r="B511" s="181"/>
      <c r="C511" s="181"/>
      <c r="D511" s="181"/>
      <c r="E511" s="182"/>
      <c r="F511" s="182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  <c r="AC511" s="181"/>
      <c r="AD511" s="181"/>
      <c r="AE511" s="181"/>
      <c r="AF511" s="181"/>
      <c r="AG511" s="181"/>
      <c r="AH511" s="181"/>
      <c r="AI511" s="181"/>
      <c r="AJ511" s="181"/>
      <c r="AK511" s="181"/>
      <c r="AL511" s="181"/>
      <c r="AM511" s="181"/>
      <c r="AN511" s="181"/>
      <c r="AO511" s="181"/>
      <c r="AP511" s="181"/>
      <c r="AQ511" s="181"/>
      <c r="AR511" s="181"/>
      <c r="AS511" s="181"/>
      <c r="AT511" s="181"/>
      <c r="AU511" s="181"/>
      <c r="AV511" s="181"/>
      <c r="AW511" s="181"/>
    </row>
    <row r="512" spans="1:49" ht="13.5" customHeight="1" x14ac:dyDescent="0.3">
      <c r="A512" s="1"/>
      <c r="B512" s="181"/>
      <c r="C512" s="181"/>
      <c r="D512" s="181"/>
      <c r="E512" s="182"/>
      <c r="F512" s="182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  <c r="AC512" s="181"/>
      <c r="AD512" s="181"/>
      <c r="AE512" s="181"/>
      <c r="AF512" s="181"/>
      <c r="AG512" s="181"/>
      <c r="AH512" s="181"/>
      <c r="AI512" s="181"/>
      <c r="AJ512" s="181"/>
      <c r="AK512" s="181"/>
      <c r="AL512" s="181"/>
      <c r="AM512" s="181"/>
      <c r="AN512" s="181"/>
      <c r="AO512" s="181"/>
      <c r="AP512" s="181"/>
      <c r="AQ512" s="181"/>
      <c r="AR512" s="181"/>
      <c r="AS512" s="181"/>
      <c r="AT512" s="181"/>
      <c r="AU512" s="181"/>
      <c r="AV512" s="181"/>
      <c r="AW512" s="181"/>
    </row>
    <row r="513" spans="1:49" ht="13.5" customHeight="1" x14ac:dyDescent="0.3">
      <c r="A513" s="1"/>
      <c r="B513" s="181"/>
      <c r="C513" s="181"/>
      <c r="D513" s="181"/>
      <c r="E513" s="182"/>
      <c r="F513" s="182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  <c r="AC513" s="181"/>
      <c r="AD513" s="181"/>
      <c r="AE513" s="181"/>
      <c r="AF513" s="181"/>
      <c r="AG513" s="181"/>
      <c r="AH513" s="181"/>
      <c r="AI513" s="181"/>
      <c r="AJ513" s="181"/>
      <c r="AK513" s="181"/>
      <c r="AL513" s="181"/>
      <c r="AM513" s="181"/>
      <c r="AN513" s="181"/>
      <c r="AO513" s="181"/>
      <c r="AP513" s="181"/>
      <c r="AQ513" s="181"/>
      <c r="AR513" s="181"/>
      <c r="AS513" s="181"/>
      <c r="AT513" s="181"/>
      <c r="AU513" s="181"/>
      <c r="AV513" s="181"/>
      <c r="AW513" s="181"/>
    </row>
    <row r="514" spans="1:49" ht="13.5" customHeight="1" x14ac:dyDescent="0.3">
      <c r="A514" s="1"/>
      <c r="B514" s="181"/>
      <c r="C514" s="181"/>
      <c r="D514" s="181"/>
      <c r="E514" s="182"/>
      <c r="F514" s="182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  <c r="AC514" s="181"/>
      <c r="AD514" s="181"/>
      <c r="AE514" s="181"/>
      <c r="AF514" s="181"/>
      <c r="AG514" s="181"/>
      <c r="AH514" s="181"/>
      <c r="AI514" s="181"/>
      <c r="AJ514" s="181"/>
      <c r="AK514" s="181"/>
      <c r="AL514" s="181"/>
      <c r="AM514" s="181"/>
      <c r="AN514" s="181"/>
      <c r="AO514" s="181"/>
      <c r="AP514" s="181"/>
      <c r="AQ514" s="181"/>
      <c r="AR514" s="181"/>
      <c r="AS514" s="181"/>
      <c r="AT514" s="181"/>
      <c r="AU514" s="181"/>
      <c r="AV514" s="181"/>
      <c r="AW514" s="181"/>
    </row>
    <row r="515" spans="1:49" ht="13.5" customHeight="1" x14ac:dyDescent="0.3">
      <c r="A515" s="1"/>
      <c r="B515" s="181"/>
      <c r="C515" s="181"/>
      <c r="D515" s="181"/>
      <c r="E515" s="182"/>
      <c r="F515" s="182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  <c r="AC515" s="181"/>
      <c r="AD515" s="181"/>
      <c r="AE515" s="181"/>
      <c r="AF515" s="181"/>
      <c r="AG515" s="181"/>
      <c r="AH515" s="181"/>
      <c r="AI515" s="181"/>
      <c r="AJ515" s="181"/>
      <c r="AK515" s="181"/>
      <c r="AL515" s="181"/>
      <c r="AM515" s="181"/>
      <c r="AN515" s="181"/>
      <c r="AO515" s="181"/>
      <c r="AP515" s="181"/>
      <c r="AQ515" s="181"/>
      <c r="AR515" s="181"/>
      <c r="AS515" s="181"/>
      <c r="AT515" s="181"/>
      <c r="AU515" s="181"/>
      <c r="AV515" s="181"/>
      <c r="AW515" s="181"/>
    </row>
    <row r="516" spans="1:49" ht="13.5" customHeight="1" x14ac:dyDescent="0.3">
      <c r="A516" s="1"/>
      <c r="B516" s="181"/>
      <c r="C516" s="181"/>
      <c r="D516" s="181"/>
      <c r="E516" s="182"/>
      <c r="F516" s="182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  <c r="AC516" s="181"/>
      <c r="AD516" s="181"/>
      <c r="AE516" s="181"/>
      <c r="AF516" s="181"/>
      <c r="AG516" s="181"/>
      <c r="AH516" s="181"/>
      <c r="AI516" s="181"/>
      <c r="AJ516" s="181"/>
      <c r="AK516" s="181"/>
      <c r="AL516" s="181"/>
      <c r="AM516" s="181"/>
      <c r="AN516" s="181"/>
      <c r="AO516" s="181"/>
      <c r="AP516" s="181"/>
      <c r="AQ516" s="181"/>
      <c r="AR516" s="181"/>
      <c r="AS516" s="181"/>
      <c r="AT516" s="181"/>
      <c r="AU516" s="181"/>
      <c r="AV516" s="181"/>
      <c r="AW516" s="181"/>
    </row>
    <row r="517" spans="1:49" ht="13.5" customHeight="1" x14ac:dyDescent="0.3">
      <c r="A517" s="1"/>
      <c r="B517" s="181"/>
      <c r="C517" s="181"/>
      <c r="D517" s="181"/>
      <c r="E517" s="182"/>
      <c r="F517" s="182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  <c r="AC517" s="181"/>
      <c r="AD517" s="181"/>
      <c r="AE517" s="181"/>
      <c r="AF517" s="181"/>
      <c r="AG517" s="181"/>
      <c r="AH517" s="181"/>
      <c r="AI517" s="181"/>
      <c r="AJ517" s="181"/>
      <c r="AK517" s="181"/>
      <c r="AL517" s="181"/>
      <c r="AM517" s="181"/>
      <c r="AN517" s="181"/>
      <c r="AO517" s="181"/>
      <c r="AP517" s="181"/>
      <c r="AQ517" s="181"/>
      <c r="AR517" s="181"/>
      <c r="AS517" s="181"/>
      <c r="AT517" s="181"/>
      <c r="AU517" s="181"/>
      <c r="AV517" s="181"/>
      <c r="AW517" s="181"/>
    </row>
    <row r="518" spans="1:49" ht="13.5" customHeight="1" x14ac:dyDescent="0.3">
      <c r="A518" s="1"/>
      <c r="B518" s="181"/>
      <c r="C518" s="181"/>
      <c r="D518" s="181"/>
      <c r="E518" s="182"/>
      <c r="F518" s="182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  <c r="AC518" s="181"/>
      <c r="AD518" s="181"/>
      <c r="AE518" s="181"/>
      <c r="AF518" s="181"/>
      <c r="AG518" s="181"/>
      <c r="AH518" s="181"/>
      <c r="AI518" s="181"/>
      <c r="AJ518" s="181"/>
      <c r="AK518" s="181"/>
      <c r="AL518" s="181"/>
      <c r="AM518" s="181"/>
      <c r="AN518" s="181"/>
      <c r="AO518" s="181"/>
      <c r="AP518" s="181"/>
      <c r="AQ518" s="181"/>
      <c r="AR518" s="181"/>
      <c r="AS518" s="181"/>
      <c r="AT518" s="181"/>
      <c r="AU518" s="181"/>
      <c r="AV518" s="181"/>
      <c r="AW518" s="181"/>
    </row>
    <row r="519" spans="1:49" ht="13.5" customHeight="1" x14ac:dyDescent="0.3">
      <c r="A519" s="1"/>
      <c r="B519" s="181"/>
      <c r="C519" s="181"/>
      <c r="D519" s="181"/>
      <c r="E519" s="182"/>
      <c r="F519" s="182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  <c r="AC519" s="181"/>
      <c r="AD519" s="181"/>
      <c r="AE519" s="181"/>
      <c r="AF519" s="181"/>
      <c r="AG519" s="181"/>
      <c r="AH519" s="181"/>
      <c r="AI519" s="181"/>
      <c r="AJ519" s="181"/>
      <c r="AK519" s="181"/>
      <c r="AL519" s="181"/>
      <c r="AM519" s="181"/>
      <c r="AN519" s="181"/>
      <c r="AO519" s="181"/>
      <c r="AP519" s="181"/>
      <c r="AQ519" s="181"/>
      <c r="AR519" s="181"/>
      <c r="AS519" s="181"/>
      <c r="AT519" s="181"/>
      <c r="AU519" s="181"/>
      <c r="AV519" s="181"/>
      <c r="AW519" s="181"/>
    </row>
    <row r="520" spans="1:49" ht="13.5" customHeight="1" x14ac:dyDescent="0.3">
      <c r="A520" s="1"/>
      <c r="B520" s="181"/>
      <c r="C520" s="181"/>
      <c r="D520" s="181"/>
      <c r="E520" s="182"/>
      <c r="F520" s="182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  <c r="AC520" s="181"/>
      <c r="AD520" s="181"/>
      <c r="AE520" s="181"/>
      <c r="AF520" s="181"/>
      <c r="AG520" s="181"/>
      <c r="AH520" s="181"/>
      <c r="AI520" s="181"/>
      <c r="AJ520" s="181"/>
      <c r="AK520" s="181"/>
      <c r="AL520" s="181"/>
      <c r="AM520" s="181"/>
      <c r="AN520" s="181"/>
      <c r="AO520" s="181"/>
      <c r="AP520" s="181"/>
      <c r="AQ520" s="181"/>
      <c r="AR520" s="181"/>
      <c r="AS520" s="181"/>
      <c r="AT520" s="181"/>
      <c r="AU520" s="181"/>
      <c r="AV520" s="181"/>
      <c r="AW520" s="181"/>
    </row>
    <row r="521" spans="1:49" ht="13.5" customHeight="1" x14ac:dyDescent="0.3">
      <c r="A521" s="1"/>
      <c r="B521" s="181"/>
      <c r="C521" s="181"/>
      <c r="D521" s="181"/>
      <c r="E521" s="182"/>
      <c r="F521" s="182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  <c r="AC521" s="181"/>
      <c r="AD521" s="181"/>
      <c r="AE521" s="181"/>
      <c r="AF521" s="181"/>
      <c r="AG521" s="181"/>
      <c r="AH521" s="181"/>
      <c r="AI521" s="181"/>
      <c r="AJ521" s="181"/>
      <c r="AK521" s="181"/>
      <c r="AL521" s="181"/>
      <c r="AM521" s="181"/>
      <c r="AN521" s="181"/>
      <c r="AO521" s="181"/>
      <c r="AP521" s="181"/>
      <c r="AQ521" s="181"/>
      <c r="AR521" s="181"/>
      <c r="AS521" s="181"/>
      <c r="AT521" s="181"/>
      <c r="AU521" s="181"/>
      <c r="AV521" s="181"/>
      <c r="AW521" s="181"/>
    </row>
    <row r="522" spans="1:49" ht="13.5" customHeight="1" x14ac:dyDescent="0.3">
      <c r="A522" s="1"/>
      <c r="B522" s="181"/>
      <c r="C522" s="181"/>
      <c r="D522" s="181"/>
      <c r="E522" s="182"/>
      <c r="F522" s="182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  <c r="AC522" s="181"/>
      <c r="AD522" s="181"/>
      <c r="AE522" s="181"/>
      <c r="AF522" s="181"/>
      <c r="AG522" s="181"/>
      <c r="AH522" s="181"/>
      <c r="AI522" s="181"/>
      <c r="AJ522" s="181"/>
      <c r="AK522" s="181"/>
      <c r="AL522" s="181"/>
      <c r="AM522" s="181"/>
      <c r="AN522" s="181"/>
      <c r="AO522" s="181"/>
      <c r="AP522" s="181"/>
      <c r="AQ522" s="181"/>
      <c r="AR522" s="181"/>
      <c r="AS522" s="181"/>
      <c r="AT522" s="181"/>
      <c r="AU522" s="181"/>
      <c r="AV522" s="181"/>
      <c r="AW522" s="181"/>
    </row>
    <row r="523" spans="1:49" ht="13.5" customHeight="1" x14ac:dyDescent="0.3">
      <c r="A523" s="1"/>
      <c r="B523" s="181"/>
      <c r="C523" s="181"/>
      <c r="D523" s="181"/>
      <c r="E523" s="182"/>
      <c r="F523" s="182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  <c r="AC523" s="181"/>
      <c r="AD523" s="181"/>
      <c r="AE523" s="181"/>
      <c r="AF523" s="181"/>
      <c r="AG523" s="181"/>
      <c r="AH523" s="181"/>
      <c r="AI523" s="181"/>
      <c r="AJ523" s="181"/>
      <c r="AK523" s="181"/>
      <c r="AL523" s="181"/>
      <c r="AM523" s="181"/>
      <c r="AN523" s="181"/>
      <c r="AO523" s="181"/>
      <c r="AP523" s="181"/>
      <c r="AQ523" s="181"/>
      <c r="AR523" s="181"/>
      <c r="AS523" s="181"/>
      <c r="AT523" s="181"/>
      <c r="AU523" s="181"/>
      <c r="AV523" s="181"/>
      <c r="AW523" s="181"/>
    </row>
    <row r="524" spans="1:49" ht="13.5" customHeight="1" x14ac:dyDescent="0.3">
      <c r="A524" s="1"/>
      <c r="B524" s="181"/>
      <c r="C524" s="181"/>
      <c r="D524" s="181"/>
      <c r="E524" s="182"/>
      <c r="F524" s="182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  <c r="AC524" s="181"/>
      <c r="AD524" s="181"/>
      <c r="AE524" s="181"/>
      <c r="AF524" s="181"/>
      <c r="AG524" s="181"/>
      <c r="AH524" s="181"/>
      <c r="AI524" s="181"/>
      <c r="AJ524" s="181"/>
      <c r="AK524" s="181"/>
      <c r="AL524" s="181"/>
      <c r="AM524" s="181"/>
      <c r="AN524" s="181"/>
      <c r="AO524" s="181"/>
      <c r="AP524" s="181"/>
      <c r="AQ524" s="181"/>
      <c r="AR524" s="181"/>
      <c r="AS524" s="181"/>
      <c r="AT524" s="181"/>
      <c r="AU524" s="181"/>
      <c r="AV524" s="181"/>
      <c r="AW524" s="181"/>
    </row>
    <row r="525" spans="1:49" ht="13.5" customHeight="1" x14ac:dyDescent="0.3">
      <c r="A525" s="1"/>
      <c r="B525" s="181"/>
      <c r="C525" s="181"/>
      <c r="D525" s="181"/>
      <c r="E525" s="182"/>
      <c r="F525" s="182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  <c r="AC525" s="181"/>
      <c r="AD525" s="181"/>
      <c r="AE525" s="181"/>
      <c r="AF525" s="181"/>
      <c r="AG525" s="181"/>
      <c r="AH525" s="181"/>
      <c r="AI525" s="181"/>
      <c r="AJ525" s="181"/>
      <c r="AK525" s="181"/>
      <c r="AL525" s="181"/>
      <c r="AM525" s="181"/>
      <c r="AN525" s="181"/>
      <c r="AO525" s="181"/>
      <c r="AP525" s="181"/>
      <c r="AQ525" s="181"/>
      <c r="AR525" s="181"/>
      <c r="AS525" s="181"/>
      <c r="AT525" s="181"/>
      <c r="AU525" s="181"/>
      <c r="AV525" s="181"/>
      <c r="AW525" s="181"/>
    </row>
    <row r="526" spans="1:49" ht="13.5" customHeight="1" x14ac:dyDescent="0.3">
      <c r="A526" s="1"/>
      <c r="B526" s="181"/>
      <c r="C526" s="181"/>
      <c r="D526" s="181"/>
      <c r="E526" s="182"/>
      <c r="F526" s="182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  <c r="AC526" s="181"/>
      <c r="AD526" s="181"/>
      <c r="AE526" s="181"/>
      <c r="AF526" s="181"/>
      <c r="AG526" s="181"/>
      <c r="AH526" s="181"/>
      <c r="AI526" s="181"/>
      <c r="AJ526" s="181"/>
      <c r="AK526" s="181"/>
      <c r="AL526" s="181"/>
      <c r="AM526" s="181"/>
      <c r="AN526" s="181"/>
      <c r="AO526" s="181"/>
      <c r="AP526" s="181"/>
      <c r="AQ526" s="181"/>
      <c r="AR526" s="181"/>
      <c r="AS526" s="181"/>
      <c r="AT526" s="181"/>
      <c r="AU526" s="181"/>
      <c r="AV526" s="181"/>
      <c r="AW526" s="181"/>
    </row>
    <row r="527" spans="1:49" ht="13.5" customHeight="1" x14ac:dyDescent="0.3">
      <c r="A527" s="1"/>
      <c r="B527" s="181"/>
      <c r="C527" s="181"/>
      <c r="D527" s="181"/>
      <c r="E527" s="182"/>
      <c r="F527" s="182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  <c r="AC527" s="181"/>
      <c r="AD527" s="181"/>
      <c r="AE527" s="181"/>
      <c r="AF527" s="181"/>
      <c r="AG527" s="181"/>
      <c r="AH527" s="181"/>
      <c r="AI527" s="181"/>
      <c r="AJ527" s="181"/>
      <c r="AK527" s="181"/>
      <c r="AL527" s="181"/>
      <c r="AM527" s="181"/>
      <c r="AN527" s="181"/>
      <c r="AO527" s="181"/>
      <c r="AP527" s="181"/>
      <c r="AQ527" s="181"/>
      <c r="AR527" s="181"/>
      <c r="AS527" s="181"/>
      <c r="AT527" s="181"/>
      <c r="AU527" s="181"/>
      <c r="AV527" s="181"/>
      <c r="AW527" s="181"/>
    </row>
    <row r="528" spans="1:49" ht="13.5" customHeight="1" x14ac:dyDescent="0.3">
      <c r="A528" s="1"/>
      <c r="B528" s="181"/>
      <c r="C528" s="181"/>
      <c r="D528" s="181"/>
      <c r="E528" s="182"/>
      <c r="F528" s="182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  <c r="AC528" s="181"/>
      <c r="AD528" s="181"/>
      <c r="AE528" s="181"/>
      <c r="AF528" s="181"/>
      <c r="AG528" s="181"/>
      <c r="AH528" s="181"/>
      <c r="AI528" s="181"/>
      <c r="AJ528" s="181"/>
      <c r="AK528" s="181"/>
      <c r="AL528" s="181"/>
      <c r="AM528" s="181"/>
      <c r="AN528" s="181"/>
      <c r="AO528" s="181"/>
      <c r="AP528" s="181"/>
      <c r="AQ528" s="181"/>
      <c r="AR528" s="181"/>
      <c r="AS528" s="181"/>
      <c r="AT528" s="181"/>
      <c r="AU528" s="181"/>
      <c r="AV528" s="181"/>
      <c r="AW528" s="181"/>
    </row>
    <row r="529" spans="1:49" ht="13.5" customHeight="1" x14ac:dyDescent="0.3">
      <c r="A529" s="1"/>
      <c r="B529" s="181"/>
      <c r="C529" s="181"/>
      <c r="D529" s="181"/>
      <c r="E529" s="182"/>
      <c r="F529" s="182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  <c r="AC529" s="181"/>
      <c r="AD529" s="181"/>
      <c r="AE529" s="181"/>
      <c r="AF529" s="181"/>
      <c r="AG529" s="181"/>
      <c r="AH529" s="181"/>
      <c r="AI529" s="181"/>
      <c r="AJ529" s="181"/>
      <c r="AK529" s="181"/>
      <c r="AL529" s="181"/>
      <c r="AM529" s="181"/>
      <c r="AN529" s="181"/>
      <c r="AO529" s="181"/>
      <c r="AP529" s="181"/>
      <c r="AQ529" s="181"/>
      <c r="AR529" s="181"/>
      <c r="AS529" s="181"/>
      <c r="AT529" s="181"/>
      <c r="AU529" s="181"/>
      <c r="AV529" s="181"/>
      <c r="AW529" s="181"/>
    </row>
    <row r="530" spans="1:49" ht="13.5" customHeight="1" x14ac:dyDescent="0.3">
      <c r="A530" s="1"/>
      <c r="B530" s="181"/>
      <c r="C530" s="181"/>
      <c r="D530" s="181"/>
      <c r="E530" s="182"/>
      <c r="F530" s="182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  <c r="AC530" s="181"/>
      <c r="AD530" s="181"/>
      <c r="AE530" s="181"/>
      <c r="AF530" s="181"/>
      <c r="AG530" s="181"/>
      <c r="AH530" s="181"/>
      <c r="AI530" s="181"/>
      <c r="AJ530" s="181"/>
      <c r="AK530" s="181"/>
      <c r="AL530" s="181"/>
      <c r="AM530" s="181"/>
      <c r="AN530" s="181"/>
      <c r="AO530" s="181"/>
      <c r="AP530" s="181"/>
      <c r="AQ530" s="181"/>
      <c r="AR530" s="181"/>
      <c r="AS530" s="181"/>
      <c r="AT530" s="181"/>
      <c r="AU530" s="181"/>
      <c r="AV530" s="181"/>
      <c r="AW530" s="181"/>
    </row>
    <row r="531" spans="1:49" ht="13.5" customHeight="1" x14ac:dyDescent="0.3">
      <c r="A531" s="1"/>
      <c r="B531" s="181"/>
      <c r="C531" s="181"/>
      <c r="D531" s="181"/>
      <c r="E531" s="182"/>
      <c r="F531" s="182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  <c r="AC531" s="181"/>
      <c r="AD531" s="181"/>
      <c r="AE531" s="181"/>
      <c r="AF531" s="181"/>
      <c r="AG531" s="181"/>
      <c r="AH531" s="181"/>
      <c r="AI531" s="181"/>
      <c r="AJ531" s="181"/>
      <c r="AK531" s="181"/>
      <c r="AL531" s="181"/>
      <c r="AM531" s="181"/>
      <c r="AN531" s="181"/>
      <c r="AO531" s="181"/>
      <c r="AP531" s="181"/>
      <c r="AQ531" s="181"/>
      <c r="AR531" s="181"/>
      <c r="AS531" s="181"/>
      <c r="AT531" s="181"/>
      <c r="AU531" s="181"/>
      <c r="AV531" s="181"/>
      <c r="AW531" s="181"/>
    </row>
    <row r="532" spans="1:49" ht="13.5" customHeight="1" x14ac:dyDescent="0.3">
      <c r="A532" s="1"/>
      <c r="B532" s="181"/>
      <c r="C532" s="181"/>
      <c r="D532" s="181"/>
      <c r="E532" s="182"/>
      <c r="F532" s="182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  <c r="AC532" s="181"/>
      <c r="AD532" s="181"/>
      <c r="AE532" s="181"/>
      <c r="AF532" s="181"/>
      <c r="AG532" s="181"/>
      <c r="AH532" s="181"/>
      <c r="AI532" s="181"/>
      <c r="AJ532" s="181"/>
      <c r="AK532" s="181"/>
      <c r="AL532" s="181"/>
      <c r="AM532" s="181"/>
      <c r="AN532" s="181"/>
      <c r="AO532" s="181"/>
      <c r="AP532" s="181"/>
      <c r="AQ532" s="181"/>
      <c r="AR532" s="181"/>
      <c r="AS532" s="181"/>
      <c r="AT532" s="181"/>
      <c r="AU532" s="181"/>
      <c r="AV532" s="181"/>
      <c r="AW532" s="181"/>
    </row>
    <row r="533" spans="1:49" ht="13.5" customHeight="1" x14ac:dyDescent="0.3">
      <c r="A533" s="1"/>
      <c r="B533" s="181"/>
      <c r="C533" s="181"/>
      <c r="D533" s="181"/>
      <c r="E533" s="182"/>
      <c r="F533" s="182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  <c r="AC533" s="181"/>
      <c r="AD533" s="181"/>
      <c r="AE533" s="181"/>
      <c r="AF533" s="181"/>
      <c r="AG533" s="181"/>
      <c r="AH533" s="181"/>
      <c r="AI533" s="181"/>
      <c r="AJ533" s="181"/>
      <c r="AK533" s="181"/>
      <c r="AL533" s="181"/>
      <c r="AM533" s="181"/>
      <c r="AN533" s="181"/>
      <c r="AO533" s="181"/>
      <c r="AP533" s="181"/>
      <c r="AQ533" s="181"/>
      <c r="AR533" s="181"/>
      <c r="AS533" s="181"/>
      <c r="AT533" s="181"/>
      <c r="AU533" s="181"/>
      <c r="AV533" s="181"/>
      <c r="AW533" s="181"/>
    </row>
    <row r="534" spans="1:49" ht="13.5" customHeight="1" x14ac:dyDescent="0.3">
      <c r="A534" s="1"/>
      <c r="B534" s="181"/>
      <c r="C534" s="181"/>
      <c r="D534" s="181"/>
      <c r="E534" s="182"/>
      <c r="F534" s="182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  <c r="AC534" s="181"/>
      <c r="AD534" s="181"/>
      <c r="AE534" s="181"/>
      <c r="AF534" s="181"/>
      <c r="AG534" s="181"/>
      <c r="AH534" s="181"/>
      <c r="AI534" s="181"/>
      <c r="AJ534" s="181"/>
      <c r="AK534" s="181"/>
      <c r="AL534" s="181"/>
      <c r="AM534" s="181"/>
      <c r="AN534" s="181"/>
      <c r="AO534" s="181"/>
      <c r="AP534" s="181"/>
      <c r="AQ534" s="181"/>
      <c r="AR534" s="181"/>
      <c r="AS534" s="181"/>
      <c r="AT534" s="181"/>
      <c r="AU534" s="181"/>
      <c r="AV534" s="181"/>
      <c r="AW534" s="181"/>
    </row>
    <row r="535" spans="1:49" ht="13.5" customHeight="1" x14ac:dyDescent="0.3">
      <c r="A535" s="1"/>
      <c r="B535" s="181"/>
      <c r="C535" s="181"/>
      <c r="D535" s="181"/>
      <c r="E535" s="182"/>
      <c r="F535" s="182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  <c r="AC535" s="181"/>
      <c r="AD535" s="181"/>
      <c r="AE535" s="181"/>
      <c r="AF535" s="181"/>
      <c r="AG535" s="181"/>
      <c r="AH535" s="181"/>
      <c r="AI535" s="181"/>
      <c r="AJ535" s="181"/>
      <c r="AK535" s="181"/>
      <c r="AL535" s="181"/>
      <c r="AM535" s="181"/>
      <c r="AN535" s="181"/>
      <c r="AO535" s="181"/>
      <c r="AP535" s="181"/>
      <c r="AQ535" s="181"/>
      <c r="AR535" s="181"/>
      <c r="AS535" s="181"/>
      <c r="AT535" s="181"/>
      <c r="AU535" s="181"/>
      <c r="AV535" s="181"/>
      <c r="AW535" s="181"/>
    </row>
    <row r="536" spans="1:49" ht="13.5" customHeight="1" x14ac:dyDescent="0.3">
      <c r="A536" s="1"/>
      <c r="B536" s="181"/>
      <c r="C536" s="181"/>
      <c r="D536" s="181"/>
      <c r="E536" s="182"/>
      <c r="F536" s="182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  <c r="AC536" s="181"/>
      <c r="AD536" s="181"/>
      <c r="AE536" s="181"/>
      <c r="AF536" s="181"/>
      <c r="AG536" s="181"/>
      <c r="AH536" s="181"/>
      <c r="AI536" s="181"/>
      <c r="AJ536" s="181"/>
      <c r="AK536" s="181"/>
      <c r="AL536" s="181"/>
      <c r="AM536" s="181"/>
      <c r="AN536" s="181"/>
      <c r="AO536" s="181"/>
      <c r="AP536" s="181"/>
      <c r="AQ536" s="181"/>
      <c r="AR536" s="181"/>
      <c r="AS536" s="181"/>
      <c r="AT536" s="181"/>
      <c r="AU536" s="181"/>
      <c r="AV536" s="181"/>
      <c r="AW536" s="181"/>
    </row>
    <row r="537" spans="1:49" ht="13.5" customHeight="1" x14ac:dyDescent="0.3">
      <c r="A537" s="1"/>
      <c r="B537" s="181"/>
      <c r="C537" s="181"/>
      <c r="D537" s="181"/>
      <c r="E537" s="182"/>
      <c r="F537" s="182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  <c r="AC537" s="181"/>
      <c r="AD537" s="181"/>
      <c r="AE537" s="181"/>
      <c r="AF537" s="181"/>
      <c r="AG537" s="181"/>
      <c r="AH537" s="181"/>
      <c r="AI537" s="181"/>
      <c r="AJ537" s="181"/>
      <c r="AK537" s="181"/>
      <c r="AL537" s="181"/>
      <c r="AM537" s="181"/>
      <c r="AN537" s="181"/>
      <c r="AO537" s="181"/>
      <c r="AP537" s="181"/>
      <c r="AQ537" s="181"/>
      <c r="AR537" s="181"/>
      <c r="AS537" s="181"/>
      <c r="AT537" s="181"/>
      <c r="AU537" s="181"/>
      <c r="AV537" s="181"/>
      <c r="AW537" s="181"/>
    </row>
    <row r="538" spans="1:49" ht="13.5" customHeight="1" x14ac:dyDescent="0.3">
      <c r="A538" s="1"/>
      <c r="B538" s="181"/>
      <c r="C538" s="181"/>
      <c r="D538" s="181"/>
      <c r="E538" s="182"/>
      <c r="F538" s="182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  <c r="AC538" s="181"/>
      <c r="AD538" s="181"/>
      <c r="AE538" s="181"/>
      <c r="AF538" s="181"/>
      <c r="AG538" s="181"/>
      <c r="AH538" s="181"/>
      <c r="AI538" s="181"/>
      <c r="AJ538" s="181"/>
      <c r="AK538" s="181"/>
      <c r="AL538" s="181"/>
      <c r="AM538" s="181"/>
      <c r="AN538" s="181"/>
      <c r="AO538" s="181"/>
      <c r="AP538" s="181"/>
      <c r="AQ538" s="181"/>
      <c r="AR538" s="181"/>
      <c r="AS538" s="181"/>
      <c r="AT538" s="181"/>
      <c r="AU538" s="181"/>
      <c r="AV538" s="181"/>
      <c r="AW538" s="181"/>
    </row>
    <row r="539" spans="1:49" ht="13.5" customHeight="1" x14ac:dyDescent="0.3">
      <c r="A539" s="1"/>
      <c r="B539" s="181"/>
      <c r="C539" s="181"/>
      <c r="D539" s="181"/>
      <c r="E539" s="182"/>
      <c r="F539" s="182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  <c r="AC539" s="181"/>
      <c r="AD539" s="181"/>
      <c r="AE539" s="181"/>
      <c r="AF539" s="181"/>
      <c r="AG539" s="181"/>
      <c r="AH539" s="181"/>
      <c r="AI539" s="181"/>
      <c r="AJ539" s="181"/>
      <c r="AK539" s="181"/>
      <c r="AL539" s="181"/>
      <c r="AM539" s="181"/>
      <c r="AN539" s="181"/>
      <c r="AO539" s="181"/>
      <c r="AP539" s="181"/>
      <c r="AQ539" s="181"/>
      <c r="AR539" s="181"/>
      <c r="AS539" s="181"/>
      <c r="AT539" s="181"/>
      <c r="AU539" s="181"/>
      <c r="AV539" s="181"/>
      <c r="AW539" s="181"/>
    </row>
    <row r="540" spans="1:49" ht="13.5" customHeight="1" x14ac:dyDescent="0.3">
      <c r="A540" s="1"/>
      <c r="B540" s="181"/>
      <c r="C540" s="181"/>
      <c r="D540" s="181"/>
      <c r="E540" s="182"/>
      <c r="F540" s="182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  <c r="AC540" s="181"/>
      <c r="AD540" s="181"/>
      <c r="AE540" s="181"/>
      <c r="AF540" s="181"/>
      <c r="AG540" s="181"/>
      <c r="AH540" s="181"/>
      <c r="AI540" s="181"/>
      <c r="AJ540" s="181"/>
      <c r="AK540" s="181"/>
      <c r="AL540" s="181"/>
      <c r="AM540" s="181"/>
      <c r="AN540" s="181"/>
      <c r="AO540" s="181"/>
      <c r="AP540" s="181"/>
      <c r="AQ540" s="181"/>
      <c r="AR540" s="181"/>
      <c r="AS540" s="181"/>
      <c r="AT540" s="181"/>
      <c r="AU540" s="181"/>
      <c r="AV540" s="181"/>
      <c r="AW540" s="181"/>
    </row>
    <row r="541" spans="1:49" ht="13.5" customHeight="1" x14ac:dyDescent="0.3">
      <c r="A541" s="1"/>
      <c r="B541" s="181"/>
      <c r="C541" s="181"/>
      <c r="D541" s="181"/>
      <c r="E541" s="182"/>
      <c r="F541" s="182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  <c r="AC541" s="181"/>
      <c r="AD541" s="181"/>
      <c r="AE541" s="181"/>
      <c r="AF541" s="181"/>
      <c r="AG541" s="181"/>
      <c r="AH541" s="181"/>
      <c r="AI541" s="181"/>
      <c r="AJ541" s="181"/>
      <c r="AK541" s="181"/>
      <c r="AL541" s="181"/>
      <c r="AM541" s="181"/>
      <c r="AN541" s="181"/>
      <c r="AO541" s="181"/>
      <c r="AP541" s="181"/>
      <c r="AQ541" s="181"/>
      <c r="AR541" s="181"/>
      <c r="AS541" s="181"/>
      <c r="AT541" s="181"/>
      <c r="AU541" s="181"/>
      <c r="AV541" s="181"/>
      <c r="AW541" s="181"/>
    </row>
    <row r="542" spans="1:49" ht="13.5" customHeight="1" x14ac:dyDescent="0.3">
      <c r="A542" s="1"/>
      <c r="B542" s="181"/>
      <c r="C542" s="181"/>
      <c r="D542" s="181"/>
      <c r="E542" s="182"/>
      <c r="F542" s="182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  <c r="AC542" s="181"/>
      <c r="AD542" s="181"/>
      <c r="AE542" s="181"/>
      <c r="AF542" s="181"/>
      <c r="AG542" s="181"/>
      <c r="AH542" s="181"/>
      <c r="AI542" s="181"/>
      <c r="AJ542" s="181"/>
      <c r="AK542" s="181"/>
      <c r="AL542" s="181"/>
      <c r="AM542" s="181"/>
      <c r="AN542" s="181"/>
      <c r="AO542" s="181"/>
      <c r="AP542" s="181"/>
      <c r="AQ542" s="181"/>
      <c r="AR542" s="181"/>
      <c r="AS542" s="181"/>
      <c r="AT542" s="181"/>
      <c r="AU542" s="181"/>
      <c r="AV542" s="181"/>
      <c r="AW542" s="181"/>
    </row>
    <row r="543" spans="1:49" ht="13.5" customHeight="1" x14ac:dyDescent="0.3">
      <c r="A543" s="1"/>
      <c r="B543" s="181"/>
      <c r="C543" s="181"/>
      <c r="D543" s="181"/>
      <c r="E543" s="182"/>
      <c r="F543" s="182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  <c r="AC543" s="181"/>
      <c r="AD543" s="181"/>
      <c r="AE543" s="181"/>
      <c r="AF543" s="181"/>
      <c r="AG543" s="181"/>
      <c r="AH543" s="181"/>
      <c r="AI543" s="181"/>
      <c r="AJ543" s="181"/>
      <c r="AK543" s="181"/>
      <c r="AL543" s="181"/>
      <c r="AM543" s="181"/>
      <c r="AN543" s="181"/>
      <c r="AO543" s="181"/>
      <c r="AP543" s="181"/>
      <c r="AQ543" s="181"/>
      <c r="AR543" s="181"/>
      <c r="AS543" s="181"/>
      <c r="AT543" s="181"/>
      <c r="AU543" s="181"/>
      <c r="AV543" s="181"/>
      <c r="AW543" s="181"/>
    </row>
    <row r="544" spans="1:49" ht="13.5" customHeight="1" x14ac:dyDescent="0.3">
      <c r="A544" s="1"/>
      <c r="B544" s="181"/>
      <c r="C544" s="181"/>
      <c r="D544" s="181"/>
      <c r="E544" s="182"/>
      <c r="F544" s="182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  <c r="AC544" s="181"/>
      <c r="AD544" s="181"/>
      <c r="AE544" s="181"/>
      <c r="AF544" s="181"/>
      <c r="AG544" s="181"/>
      <c r="AH544" s="181"/>
      <c r="AI544" s="181"/>
      <c r="AJ544" s="181"/>
      <c r="AK544" s="181"/>
      <c r="AL544" s="181"/>
      <c r="AM544" s="181"/>
      <c r="AN544" s="181"/>
      <c r="AO544" s="181"/>
      <c r="AP544" s="181"/>
      <c r="AQ544" s="181"/>
      <c r="AR544" s="181"/>
      <c r="AS544" s="181"/>
      <c r="AT544" s="181"/>
      <c r="AU544" s="181"/>
      <c r="AV544" s="181"/>
      <c r="AW544" s="181"/>
    </row>
    <row r="545" spans="1:49" ht="13.5" customHeight="1" x14ac:dyDescent="0.3">
      <c r="A545" s="1"/>
      <c r="B545" s="181"/>
      <c r="C545" s="181"/>
      <c r="D545" s="181"/>
      <c r="E545" s="182"/>
      <c r="F545" s="182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  <c r="AC545" s="181"/>
      <c r="AD545" s="181"/>
      <c r="AE545" s="181"/>
      <c r="AF545" s="181"/>
      <c r="AG545" s="181"/>
      <c r="AH545" s="181"/>
      <c r="AI545" s="181"/>
      <c r="AJ545" s="181"/>
      <c r="AK545" s="181"/>
      <c r="AL545" s="181"/>
      <c r="AM545" s="181"/>
      <c r="AN545" s="181"/>
      <c r="AO545" s="181"/>
      <c r="AP545" s="181"/>
      <c r="AQ545" s="181"/>
      <c r="AR545" s="181"/>
      <c r="AS545" s="181"/>
      <c r="AT545" s="181"/>
      <c r="AU545" s="181"/>
      <c r="AV545" s="181"/>
      <c r="AW545" s="181"/>
    </row>
    <row r="546" spans="1:49" ht="13.5" customHeight="1" x14ac:dyDescent="0.3">
      <c r="A546" s="1"/>
      <c r="B546" s="181"/>
      <c r="C546" s="181"/>
      <c r="D546" s="181"/>
      <c r="E546" s="182"/>
      <c r="F546" s="182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  <c r="AC546" s="181"/>
      <c r="AD546" s="181"/>
      <c r="AE546" s="181"/>
      <c r="AF546" s="181"/>
      <c r="AG546" s="181"/>
      <c r="AH546" s="181"/>
      <c r="AI546" s="181"/>
      <c r="AJ546" s="181"/>
      <c r="AK546" s="181"/>
      <c r="AL546" s="181"/>
      <c r="AM546" s="181"/>
      <c r="AN546" s="181"/>
      <c r="AO546" s="181"/>
      <c r="AP546" s="181"/>
      <c r="AQ546" s="181"/>
      <c r="AR546" s="181"/>
      <c r="AS546" s="181"/>
      <c r="AT546" s="181"/>
      <c r="AU546" s="181"/>
      <c r="AV546" s="181"/>
      <c r="AW546" s="181"/>
    </row>
    <row r="547" spans="1:49" ht="13.5" customHeight="1" x14ac:dyDescent="0.3">
      <c r="A547" s="1"/>
      <c r="B547" s="181"/>
      <c r="C547" s="181"/>
      <c r="D547" s="181"/>
      <c r="E547" s="182"/>
      <c r="F547" s="182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  <c r="AC547" s="181"/>
      <c r="AD547" s="181"/>
      <c r="AE547" s="181"/>
      <c r="AF547" s="181"/>
      <c r="AG547" s="181"/>
      <c r="AH547" s="181"/>
      <c r="AI547" s="181"/>
      <c r="AJ547" s="181"/>
      <c r="AK547" s="181"/>
      <c r="AL547" s="181"/>
      <c r="AM547" s="181"/>
      <c r="AN547" s="181"/>
      <c r="AO547" s="181"/>
      <c r="AP547" s="181"/>
      <c r="AQ547" s="181"/>
      <c r="AR547" s="181"/>
      <c r="AS547" s="181"/>
      <c r="AT547" s="181"/>
      <c r="AU547" s="181"/>
      <c r="AV547" s="181"/>
      <c r="AW547" s="181"/>
    </row>
    <row r="548" spans="1:49" ht="13.5" customHeight="1" x14ac:dyDescent="0.3">
      <c r="A548" s="1"/>
      <c r="B548" s="181"/>
      <c r="C548" s="181"/>
      <c r="D548" s="181"/>
      <c r="E548" s="182"/>
      <c r="F548" s="182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  <c r="AC548" s="181"/>
      <c r="AD548" s="181"/>
      <c r="AE548" s="181"/>
      <c r="AF548" s="181"/>
      <c r="AG548" s="181"/>
      <c r="AH548" s="181"/>
      <c r="AI548" s="181"/>
      <c r="AJ548" s="181"/>
      <c r="AK548" s="181"/>
      <c r="AL548" s="181"/>
      <c r="AM548" s="181"/>
      <c r="AN548" s="181"/>
      <c r="AO548" s="181"/>
      <c r="AP548" s="181"/>
      <c r="AQ548" s="181"/>
      <c r="AR548" s="181"/>
      <c r="AS548" s="181"/>
      <c r="AT548" s="181"/>
      <c r="AU548" s="181"/>
      <c r="AV548" s="181"/>
      <c r="AW548" s="181"/>
    </row>
    <row r="549" spans="1:49" ht="13.5" customHeight="1" x14ac:dyDescent="0.3">
      <c r="A549" s="1"/>
      <c r="B549" s="181"/>
      <c r="C549" s="181"/>
      <c r="D549" s="181"/>
      <c r="E549" s="182"/>
      <c r="F549" s="182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  <c r="AC549" s="181"/>
      <c r="AD549" s="181"/>
      <c r="AE549" s="181"/>
      <c r="AF549" s="181"/>
      <c r="AG549" s="181"/>
      <c r="AH549" s="181"/>
      <c r="AI549" s="181"/>
      <c r="AJ549" s="181"/>
      <c r="AK549" s="181"/>
      <c r="AL549" s="181"/>
      <c r="AM549" s="181"/>
      <c r="AN549" s="181"/>
      <c r="AO549" s="181"/>
      <c r="AP549" s="181"/>
      <c r="AQ549" s="181"/>
      <c r="AR549" s="181"/>
      <c r="AS549" s="181"/>
      <c r="AT549" s="181"/>
      <c r="AU549" s="181"/>
      <c r="AV549" s="181"/>
      <c r="AW549" s="181"/>
    </row>
    <row r="550" spans="1:49" ht="13.5" customHeight="1" x14ac:dyDescent="0.3">
      <c r="A550" s="1"/>
      <c r="B550" s="181"/>
      <c r="C550" s="181"/>
      <c r="D550" s="181"/>
      <c r="E550" s="182"/>
      <c r="F550" s="182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  <c r="AC550" s="181"/>
      <c r="AD550" s="181"/>
      <c r="AE550" s="181"/>
      <c r="AF550" s="181"/>
      <c r="AG550" s="181"/>
      <c r="AH550" s="181"/>
      <c r="AI550" s="181"/>
      <c r="AJ550" s="181"/>
      <c r="AK550" s="181"/>
      <c r="AL550" s="181"/>
      <c r="AM550" s="181"/>
      <c r="AN550" s="181"/>
      <c r="AO550" s="181"/>
      <c r="AP550" s="181"/>
      <c r="AQ550" s="181"/>
      <c r="AR550" s="181"/>
      <c r="AS550" s="181"/>
      <c r="AT550" s="181"/>
      <c r="AU550" s="181"/>
      <c r="AV550" s="181"/>
      <c r="AW550" s="181"/>
    </row>
    <row r="551" spans="1:49" ht="13.5" customHeight="1" x14ac:dyDescent="0.3">
      <c r="A551" s="1"/>
      <c r="B551" s="181"/>
      <c r="C551" s="181"/>
      <c r="D551" s="181"/>
      <c r="E551" s="182"/>
      <c r="F551" s="182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  <c r="AC551" s="181"/>
      <c r="AD551" s="181"/>
      <c r="AE551" s="181"/>
      <c r="AF551" s="181"/>
      <c r="AG551" s="181"/>
      <c r="AH551" s="181"/>
      <c r="AI551" s="181"/>
      <c r="AJ551" s="181"/>
      <c r="AK551" s="181"/>
      <c r="AL551" s="181"/>
      <c r="AM551" s="181"/>
      <c r="AN551" s="181"/>
      <c r="AO551" s="181"/>
      <c r="AP551" s="181"/>
      <c r="AQ551" s="181"/>
      <c r="AR551" s="181"/>
      <c r="AS551" s="181"/>
      <c r="AT551" s="181"/>
      <c r="AU551" s="181"/>
      <c r="AV551" s="181"/>
      <c r="AW551" s="181"/>
    </row>
    <row r="552" spans="1:49" ht="13.5" customHeight="1" x14ac:dyDescent="0.3">
      <c r="A552" s="1"/>
      <c r="B552" s="181"/>
      <c r="C552" s="181"/>
      <c r="D552" s="181"/>
      <c r="E552" s="182"/>
      <c r="F552" s="182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  <c r="AC552" s="181"/>
      <c r="AD552" s="181"/>
      <c r="AE552" s="181"/>
      <c r="AF552" s="181"/>
      <c r="AG552" s="181"/>
      <c r="AH552" s="181"/>
      <c r="AI552" s="181"/>
      <c r="AJ552" s="181"/>
      <c r="AK552" s="181"/>
      <c r="AL552" s="181"/>
      <c r="AM552" s="181"/>
      <c r="AN552" s="181"/>
      <c r="AO552" s="181"/>
      <c r="AP552" s="181"/>
      <c r="AQ552" s="181"/>
      <c r="AR552" s="181"/>
      <c r="AS552" s="181"/>
      <c r="AT552" s="181"/>
      <c r="AU552" s="181"/>
      <c r="AV552" s="181"/>
      <c r="AW552" s="181"/>
    </row>
    <row r="553" spans="1:49" ht="13.5" customHeight="1" x14ac:dyDescent="0.3">
      <c r="A553" s="1"/>
      <c r="B553" s="181"/>
      <c r="C553" s="181"/>
      <c r="D553" s="181"/>
      <c r="E553" s="182"/>
      <c r="F553" s="182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  <c r="AC553" s="181"/>
      <c r="AD553" s="181"/>
      <c r="AE553" s="181"/>
      <c r="AF553" s="181"/>
      <c r="AG553" s="181"/>
      <c r="AH553" s="181"/>
      <c r="AI553" s="181"/>
      <c r="AJ553" s="181"/>
      <c r="AK553" s="181"/>
      <c r="AL553" s="181"/>
      <c r="AM553" s="181"/>
      <c r="AN553" s="181"/>
      <c r="AO553" s="181"/>
      <c r="AP553" s="181"/>
      <c r="AQ553" s="181"/>
      <c r="AR553" s="181"/>
      <c r="AS553" s="181"/>
      <c r="AT553" s="181"/>
      <c r="AU553" s="181"/>
      <c r="AV553" s="181"/>
      <c r="AW553" s="181"/>
    </row>
    <row r="554" spans="1:49" ht="13.5" customHeight="1" x14ac:dyDescent="0.3">
      <c r="A554" s="1"/>
      <c r="B554" s="181"/>
      <c r="C554" s="181"/>
      <c r="D554" s="181"/>
      <c r="E554" s="182"/>
      <c r="F554" s="182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  <c r="AC554" s="181"/>
      <c r="AD554" s="181"/>
      <c r="AE554" s="181"/>
      <c r="AF554" s="181"/>
      <c r="AG554" s="181"/>
      <c r="AH554" s="181"/>
      <c r="AI554" s="181"/>
      <c r="AJ554" s="181"/>
      <c r="AK554" s="181"/>
      <c r="AL554" s="181"/>
      <c r="AM554" s="181"/>
      <c r="AN554" s="181"/>
      <c r="AO554" s="181"/>
      <c r="AP554" s="181"/>
      <c r="AQ554" s="181"/>
      <c r="AR554" s="181"/>
      <c r="AS554" s="181"/>
      <c r="AT554" s="181"/>
      <c r="AU554" s="181"/>
      <c r="AV554" s="181"/>
      <c r="AW554" s="181"/>
    </row>
    <row r="555" spans="1:49" ht="13.5" customHeight="1" x14ac:dyDescent="0.3">
      <c r="A555" s="1"/>
      <c r="B555" s="181"/>
      <c r="C555" s="181"/>
      <c r="D555" s="181"/>
      <c r="E555" s="182"/>
      <c r="F555" s="182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  <c r="AC555" s="181"/>
      <c r="AD555" s="181"/>
      <c r="AE555" s="181"/>
      <c r="AF555" s="181"/>
      <c r="AG555" s="181"/>
      <c r="AH555" s="181"/>
      <c r="AI555" s="181"/>
      <c r="AJ555" s="181"/>
      <c r="AK555" s="181"/>
      <c r="AL555" s="181"/>
      <c r="AM555" s="181"/>
      <c r="AN555" s="181"/>
      <c r="AO555" s="181"/>
      <c r="AP555" s="181"/>
      <c r="AQ555" s="181"/>
      <c r="AR555" s="181"/>
      <c r="AS555" s="181"/>
      <c r="AT555" s="181"/>
      <c r="AU555" s="181"/>
      <c r="AV555" s="181"/>
      <c r="AW555" s="181"/>
    </row>
    <row r="556" spans="1:49" ht="13.5" customHeight="1" x14ac:dyDescent="0.3">
      <c r="A556" s="1"/>
      <c r="B556" s="181"/>
      <c r="C556" s="181"/>
      <c r="D556" s="181"/>
      <c r="E556" s="182"/>
      <c r="F556" s="182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  <c r="AC556" s="181"/>
      <c r="AD556" s="181"/>
      <c r="AE556" s="181"/>
      <c r="AF556" s="181"/>
      <c r="AG556" s="181"/>
      <c r="AH556" s="181"/>
      <c r="AI556" s="181"/>
      <c r="AJ556" s="181"/>
      <c r="AK556" s="181"/>
      <c r="AL556" s="181"/>
      <c r="AM556" s="181"/>
      <c r="AN556" s="181"/>
      <c r="AO556" s="181"/>
      <c r="AP556" s="181"/>
      <c r="AQ556" s="181"/>
      <c r="AR556" s="181"/>
      <c r="AS556" s="181"/>
      <c r="AT556" s="181"/>
      <c r="AU556" s="181"/>
      <c r="AV556" s="181"/>
      <c r="AW556" s="181"/>
    </row>
    <row r="557" spans="1:49" ht="13.5" customHeight="1" x14ac:dyDescent="0.3">
      <c r="A557" s="1"/>
      <c r="B557" s="181"/>
      <c r="C557" s="181"/>
      <c r="D557" s="181"/>
      <c r="E557" s="182"/>
      <c r="F557" s="182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  <c r="AC557" s="181"/>
      <c r="AD557" s="181"/>
      <c r="AE557" s="181"/>
      <c r="AF557" s="181"/>
      <c r="AG557" s="181"/>
      <c r="AH557" s="181"/>
      <c r="AI557" s="181"/>
      <c r="AJ557" s="181"/>
      <c r="AK557" s="181"/>
      <c r="AL557" s="181"/>
      <c r="AM557" s="181"/>
      <c r="AN557" s="181"/>
      <c r="AO557" s="181"/>
      <c r="AP557" s="181"/>
      <c r="AQ557" s="181"/>
      <c r="AR557" s="181"/>
      <c r="AS557" s="181"/>
      <c r="AT557" s="181"/>
      <c r="AU557" s="181"/>
      <c r="AV557" s="181"/>
      <c r="AW557" s="181"/>
    </row>
    <row r="558" spans="1:49" ht="13.5" customHeight="1" x14ac:dyDescent="0.3">
      <c r="A558" s="1"/>
      <c r="B558" s="181"/>
      <c r="C558" s="181"/>
      <c r="D558" s="181"/>
      <c r="E558" s="182"/>
      <c r="F558" s="182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  <c r="AC558" s="181"/>
      <c r="AD558" s="181"/>
      <c r="AE558" s="181"/>
      <c r="AF558" s="181"/>
      <c r="AG558" s="181"/>
      <c r="AH558" s="181"/>
      <c r="AI558" s="181"/>
      <c r="AJ558" s="181"/>
      <c r="AK558" s="181"/>
      <c r="AL558" s="181"/>
      <c r="AM558" s="181"/>
      <c r="AN558" s="181"/>
      <c r="AO558" s="181"/>
      <c r="AP558" s="181"/>
      <c r="AQ558" s="181"/>
      <c r="AR558" s="181"/>
      <c r="AS558" s="181"/>
      <c r="AT558" s="181"/>
      <c r="AU558" s="181"/>
      <c r="AV558" s="181"/>
      <c r="AW558" s="181"/>
    </row>
    <row r="559" spans="1:49" ht="13.5" customHeight="1" x14ac:dyDescent="0.3">
      <c r="A559" s="1"/>
      <c r="B559" s="181"/>
      <c r="C559" s="181"/>
      <c r="D559" s="181"/>
      <c r="E559" s="182"/>
      <c r="F559" s="182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  <c r="AC559" s="181"/>
      <c r="AD559" s="181"/>
      <c r="AE559" s="181"/>
      <c r="AF559" s="181"/>
      <c r="AG559" s="181"/>
      <c r="AH559" s="181"/>
      <c r="AI559" s="181"/>
      <c r="AJ559" s="181"/>
      <c r="AK559" s="181"/>
      <c r="AL559" s="181"/>
      <c r="AM559" s="181"/>
      <c r="AN559" s="181"/>
      <c r="AO559" s="181"/>
      <c r="AP559" s="181"/>
      <c r="AQ559" s="181"/>
      <c r="AR559" s="181"/>
      <c r="AS559" s="181"/>
      <c r="AT559" s="181"/>
      <c r="AU559" s="181"/>
      <c r="AV559" s="181"/>
      <c r="AW559" s="181"/>
    </row>
    <row r="560" spans="1:49" ht="13.5" customHeight="1" x14ac:dyDescent="0.3">
      <c r="A560" s="1"/>
      <c r="B560" s="181"/>
      <c r="C560" s="181"/>
      <c r="D560" s="181"/>
      <c r="E560" s="182"/>
      <c r="F560" s="182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  <c r="AC560" s="181"/>
      <c r="AD560" s="181"/>
      <c r="AE560" s="181"/>
      <c r="AF560" s="181"/>
      <c r="AG560" s="181"/>
      <c r="AH560" s="181"/>
      <c r="AI560" s="181"/>
      <c r="AJ560" s="181"/>
      <c r="AK560" s="181"/>
      <c r="AL560" s="181"/>
      <c r="AM560" s="181"/>
      <c r="AN560" s="181"/>
      <c r="AO560" s="181"/>
      <c r="AP560" s="181"/>
      <c r="AQ560" s="181"/>
      <c r="AR560" s="181"/>
      <c r="AS560" s="181"/>
      <c r="AT560" s="181"/>
      <c r="AU560" s="181"/>
      <c r="AV560" s="181"/>
      <c r="AW560" s="181"/>
    </row>
    <row r="561" spans="1:49" ht="13.5" customHeight="1" x14ac:dyDescent="0.3">
      <c r="A561" s="1"/>
      <c r="B561" s="181"/>
      <c r="C561" s="181"/>
      <c r="D561" s="181"/>
      <c r="E561" s="182"/>
      <c r="F561" s="182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  <c r="AC561" s="181"/>
      <c r="AD561" s="181"/>
      <c r="AE561" s="181"/>
      <c r="AF561" s="181"/>
      <c r="AG561" s="181"/>
      <c r="AH561" s="181"/>
      <c r="AI561" s="181"/>
      <c r="AJ561" s="181"/>
      <c r="AK561" s="181"/>
      <c r="AL561" s="181"/>
      <c r="AM561" s="181"/>
      <c r="AN561" s="181"/>
      <c r="AO561" s="181"/>
      <c r="AP561" s="181"/>
      <c r="AQ561" s="181"/>
      <c r="AR561" s="181"/>
      <c r="AS561" s="181"/>
      <c r="AT561" s="181"/>
      <c r="AU561" s="181"/>
      <c r="AV561" s="181"/>
      <c r="AW561" s="181"/>
    </row>
    <row r="562" spans="1:49" ht="13.5" customHeight="1" x14ac:dyDescent="0.3">
      <c r="A562" s="1"/>
      <c r="B562" s="181"/>
      <c r="C562" s="181"/>
      <c r="D562" s="181"/>
      <c r="E562" s="182"/>
      <c r="F562" s="182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  <c r="AC562" s="181"/>
      <c r="AD562" s="181"/>
      <c r="AE562" s="181"/>
      <c r="AF562" s="181"/>
      <c r="AG562" s="181"/>
      <c r="AH562" s="181"/>
      <c r="AI562" s="181"/>
      <c r="AJ562" s="181"/>
      <c r="AK562" s="181"/>
      <c r="AL562" s="181"/>
      <c r="AM562" s="181"/>
      <c r="AN562" s="181"/>
      <c r="AO562" s="181"/>
      <c r="AP562" s="181"/>
      <c r="AQ562" s="181"/>
      <c r="AR562" s="181"/>
      <c r="AS562" s="181"/>
      <c r="AT562" s="181"/>
      <c r="AU562" s="181"/>
      <c r="AV562" s="181"/>
      <c r="AW562" s="181"/>
    </row>
    <row r="563" spans="1:49" ht="13.5" customHeight="1" x14ac:dyDescent="0.3">
      <c r="A563" s="1"/>
      <c r="B563" s="181"/>
      <c r="C563" s="181"/>
      <c r="D563" s="181"/>
      <c r="E563" s="182"/>
      <c r="F563" s="182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  <c r="AC563" s="181"/>
      <c r="AD563" s="181"/>
      <c r="AE563" s="181"/>
      <c r="AF563" s="181"/>
      <c r="AG563" s="181"/>
      <c r="AH563" s="181"/>
      <c r="AI563" s="181"/>
      <c r="AJ563" s="181"/>
      <c r="AK563" s="181"/>
      <c r="AL563" s="181"/>
      <c r="AM563" s="181"/>
      <c r="AN563" s="181"/>
      <c r="AO563" s="181"/>
      <c r="AP563" s="181"/>
      <c r="AQ563" s="181"/>
      <c r="AR563" s="181"/>
      <c r="AS563" s="181"/>
      <c r="AT563" s="181"/>
      <c r="AU563" s="181"/>
      <c r="AV563" s="181"/>
      <c r="AW563" s="181"/>
    </row>
    <row r="564" spans="1:49" ht="13.5" customHeight="1" x14ac:dyDescent="0.3">
      <c r="A564" s="1"/>
      <c r="B564" s="181"/>
      <c r="C564" s="181"/>
      <c r="D564" s="181"/>
      <c r="E564" s="182"/>
      <c r="F564" s="182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  <c r="AC564" s="181"/>
      <c r="AD564" s="181"/>
      <c r="AE564" s="181"/>
      <c r="AF564" s="181"/>
      <c r="AG564" s="181"/>
      <c r="AH564" s="181"/>
      <c r="AI564" s="181"/>
      <c r="AJ564" s="181"/>
      <c r="AK564" s="181"/>
      <c r="AL564" s="181"/>
      <c r="AM564" s="181"/>
      <c r="AN564" s="181"/>
      <c r="AO564" s="181"/>
      <c r="AP564" s="181"/>
      <c r="AQ564" s="181"/>
      <c r="AR564" s="181"/>
      <c r="AS564" s="181"/>
      <c r="AT564" s="181"/>
      <c r="AU564" s="181"/>
      <c r="AV564" s="181"/>
      <c r="AW564" s="181"/>
    </row>
    <row r="565" spans="1:49" ht="13.5" customHeight="1" x14ac:dyDescent="0.3">
      <c r="A565" s="1"/>
      <c r="B565" s="181"/>
      <c r="C565" s="181"/>
      <c r="D565" s="181"/>
      <c r="E565" s="182"/>
      <c r="F565" s="182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  <c r="AC565" s="181"/>
      <c r="AD565" s="181"/>
      <c r="AE565" s="181"/>
      <c r="AF565" s="181"/>
      <c r="AG565" s="181"/>
      <c r="AH565" s="181"/>
      <c r="AI565" s="181"/>
      <c r="AJ565" s="181"/>
      <c r="AK565" s="181"/>
      <c r="AL565" s="181"/>
      <c r="AM565" s="181"/>
      <c r="AN565" s="181"/>
      <c r="AO565" s="181"/>
      <c r="AP565" s="181"/>
      <c r="AQ565" s="181"/>
      <c r="AR565" s="181"/>
      <c r="AS565" s="181"/>
      <c r="AT565" s="181"/>
      <c r="AU565" s="181"/>
      <c r="AV565" s="181"/>
      <c r="AW565" s="181"/>
    </row>
    <row r="566" spans="1:49" ht="13.5" customHeight="1" x14ac:dyDescent="0.3">
      <c r="A566" s="1"/>
      <c r="B566" s="181"/>
      <c r="C566" s="181"/>
      <c r="D566" s="181"/>
      <c r="E566" s="182"/>
      <c r="F566" s="182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  <c r="AC566" s="181"/>
      <c r="AD566" s="181"/>
      <c r="AE566" s="181"/>
      <c r="AF566" s="181"/>
      <c r="AG566" s="181"/>
      <c r="AH566" s="181"/>
      <c r="AI566" s="181"/>
      <c r="AJ566" s="181"/>
      <c r="AK566" s="181"/>
      <c r="AL566" s="181"/>
      <c r="AM566" s="181"/>
      <c r="AN566" s="181"/>
      <c r="AO566" s="181"/>
      <c r="AP566" s="181"/>
      <c r="AQ566" s="181"/>
      <c r="AR566" s="181"/>
      <c r="AS566" s="181"/>
      <c r="AT566" s="181"/>
      <c r="AU566" s="181"/>
      <c r="AV566" s="181"/>
      <c r="AW566" s="181"/>
    </row>
    <row r="567" spans="1:49" ht="13.5" customHeight="1" x14ac:dyDescent="0.3">
      <c r="A567" s="1"/>
      <c r="B567" s="181"/>
      <c r="C567" s="181"/>
      <c r="D567" s="181"/>
      <c r="E567" s="182"/>
      <c r="F567" s="182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  <c r="AC567" s="181"/>
      <c r="AD567" s="181"/>
      <c r="AE567" s="181"/>
      <c r="AF567" s="181"/>
      <c r="AG567" s="181"/>
      <c r="AH567" s="181"/>
      <c r="AI567" s="181"/>
      <c r="AJ567" s="181"/>
      <c r="AK567" s="181"/>
      <c r="AL567" s="181"/>
      <c r="AM567" s="181"/>
      <c r="AN567" s="181"/>
      <c r="AO567" s="181"/>
      <c r="AP567" s="181"/>
      <c r="AQ567" s="181"/>
      <c r="AR567" s="181"/>
      <c r="AS567" s="181"/>
      <c r="AT567" s="181"/>
      <c r="AU567" s="181"/>
      <c r="AV567" s="181"/>
      <c r="AW567" s="181"/>
    </row>
    <row r="568" spans="1:49" ht="13.5" customHeight="1" x14ac:dyDescent="0.3">
      <c r="A568" s="1"/>
      <c r="B568" s="181"/>
      <c r="C568" s="181"/>
      <c r="D568" s="181"/>
      <c r="E568" s="182"/>
      <c r="F568" s="182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  <c r="AC568" s="181"/>
      <c r="AD568" s="181"/>
      <c r="AE568" s="181"/>
      <c r="AF568" s="181"/>
      <c r="AG568" s="181"/>
      <c r="AH568" s="181"/>
      <c r="AI568" s="181"/>
      <c r="AJ568" s="181"/>
      <c r="AK568" s="181"/>
      <c r="AL568" s="181"/>
      <c r="AM568" s="181"/>
      <c r="AN568" s="181"/>
      <c r="AO568" s="181"/>
      <c r="AP568" s="181"/>
      <c r="AQ568" s="181"/>
      <c r="AR568" s="181"/>
      <c r="AS568" s="181"/>
      <c r="AT568" s="181"/>
      <c r="AU568" s="181"/>
      <c r="AV568" s="181"/>
      <c r="AW568" s="181"/>
    </row>
    <row r="569" spans="1:49" ht="13.5" customHeight="1" x14ac:dyDescent="0.3">
      <c r="A569" s="1"/>
      <c r="B569" s="181"/>
      <c r="C569" s="181"/>
      <c r="D569" s="181"/>
      <c r="E569" s="182"/>
      <c r="F569" s="182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  <c r="AC569" s="181"/>
      <c r="AD569" s="181"/>
      <c r="AE569" s="181"/>
      <c r="AF569" s="181"/>
      <c r="AG569" s="181"/>
      <c r="AH569" s="181"/>
      <c r="AI569" s="181"/>
      <c r="AJ569" s="181"/>
      <c r="AK569" s="181"/>
      <c r="AL569" s="181"/>
      <c r="AM569" s="181"/>
      <c r="AN569" s="181"/>
      <c r="AO569" s="181"/>
      <c r="AP569" s="181"/>
      <c r="AQ569" s="181"/>
      <c r="AR569" s="181"/>
      <c r="AS569" s="181"/>
      <c r="AT569" s="181"/>
      <c r="AU569" s="181"/>
      <c r="AV569" s="181"/>
      <c r="AW569" s="181"/>
    </row>
    <row r="570" spans="1:49" ht="13.5" customHeight="1" x14ac:dyDescent="0.3">
      <c r="A570" s="1"/>
      <c r="B570" s="181"/>
      <c r="C570" s="181"/>
      <c r="D570" s="181"/>
      <c r="E570" s="182"/>
      <c r="F570" s="182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  <c r="AC570" s="181"/>
      <c r="AD570" s="181"/>
      <c r="AE570" s="181"/>
      <c r="AF570" s="181"/>
      <c r="AG570" s="181"/>
      <c r="AH570" s="181"/>
      <c r="AI570" s="181"/>
      <c r="AJ570" s="181"/>
      <c r="AK570" s="181"/>
      <c r="AL570" s="181"/>
      <c r="AM570" s="181"/>
      <c r="AN570" s="181"/>
      <c r="AO570" s="181"/>
      <c r="AP570" s="181"/>
      <c r="AQ570" s="181"/>
      <c r="AR570" s="181"/>
      <c r="AS570" s="181"/>
      <c r="AT570" s="181"/>
      <c r="AU570" s="181"/>
      <c r="AV570" s="181"/>
      <c r="AW570" s="181"/>
    </row>
    <row r="571" spans="1:49" ht="13.5" customHeight="1" x14ac:dyDescent="0.3">
      <c r="A571" s="1"/>
      <c r="B571" s="181"/>
      <c r="C571" s="181"/>
      <c r="D571" s="181"/>
      <c r="E571" s="182"/>
      <c r="F571" s="182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  <c r="AC571" s="181"/>
      <c r="AD571" s="181"/>
      <c r="AE571" s="181"/>
      <c r="AF571" s="181"/>
      <c r="AG571" s="181"/>
      <c r="AH571" s="181"/>
      <c r="AI571" s="181"/>
      <c r="AJ571" s="181"/>
      <c r="AK571" s="181"/>
      <c r="AL571" s="181"/>
      <c r="AM571" s="181"/>
      <c r="AN571" s="181"/>
      <c r="AO571" s="181"/>
      <c r="AP571" s="181"/>
      <c r="AQ571" s="181"/>
      <c r="AR571" s="181"/>
      <c r="AS571" s="181"/>
      <c r="AT571" s="181"/>
      <c r="AU571" s="181"/>
      <c r="AV571" s="181"/>
      <c r="AW571" s="181"/>
    </row>
    <row r="572" spans="1:49" ht="13.5" customHeight="1" x14ac:dyDescent="0.3">
      <c r="A572" s="1"/>
      <c r="B572" s="181"/>
      <c r="C572" s="181"/>
      <c r="D572" s="181"/>
      <c r="E572" s="182"/>
      <c r="F572" s="182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  <c r="AC572" s="181"/>
      <c r="AD572" s="181"/>
      <c r="AE572" s="181"/>
      <c r="AF572" s="181"/>
      <c r="AG572" s="181"/>
      <c r="AH572" s="181"/>
      <c r="AI572" s="181"/>
      <c r="AJ572" s="181"/>
      <c r="AK572" s="181"/>
      <c r="AL572" s="181"/>
      <c r="AM572" s="181"/>
      <c r="AN572" s="181"/>
      <c r="AO572" s="181"/>
      <c r="AP572" s="181"/>
      <c r="AQ572" s="181"/>
      <c r="AR572" s="181"/>
      <c r="AS572" s="181"/>
      <c r="AT572" s="181"/>
      <c r="AU572" s="181"/>
      <c r="AV572" s="181"/>
      <c r="AW572" s="181"/>
    </row>
    <row r="573" spans="1:49" ht="13.5" customHeight="1" x14ac:dyDescent="0.3">
      <c r="A573" s="1"/>
      <c r="B573" s="181"/>
      <c r="C573" s="181"/>
      <c r="D573" s="181"/>
      <c r="E573" s="182"/>
      <c r="F573" s="182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  <c r="AC573" s="181"/>
      <c r="AD573" s="181"/>
      <c r="AE573" s="181"/>
      <c r="AF573" s="181"/>
      <c r="AG573" s="181"/>
      <c r="AH573" s="181"/>
      <c r="AI573" s="181"/>
      <c r="AJ573" s="181"/>
      <c r="AK573" s="181"/>
      <c r="AL573" s="181"/>
      <c r="AM573" s="181"/>
      <c r="AN573" s="181"/>
      <c r="AO573" s="181"/>
      <c r="AP573" s="181"/>
      <c r="AQ573" s="181"/>
      <c r="AR573" s="181"/>
      <c r="AS573" s="181"/>
      <c r="AT573" s="181"/>
      <c r="AU573" s="181"/>
      <c r="AV573" s="181"/>
      <c r="AW573" s="181"/>
    </row>
    <row r="574" spans="1:49" ht="13.5" customHeight="1" x14ac:dyDescent="0.3">
      <c r="A574" s="1"/>
      <c r="B574" s="181"/>
      <c r="C574" s="181"/>
      <c r="D574" s="181"/>
      <c r="E574" s="182"/>
      <c r="F574" s="182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  <c r="AC574" s="181"/>
      <c r="AD574" s="181"/>
      <c r="AE574" s="181"/>
      <c r="AF574" s="181"/>
      <c r="AG574" s="181"/>
      <c r="AH574" s="181"/>
      <c r="AI574" s="181"/>
      <c r="AJ574" s="181"/>
      <c r="AK574" s="181"/>
      <c r="AL574" s="181"/>
      <c r="AM574" s="181"/>
      <c r="AN574" s="181"/>
      <c r="AO574" s="181"/>
      <c r="AP574" s="181"/>
      <c r="AQ574" s="181"/>
      <c r="AR574" s="181"/>
      <c r="AS574" s="181"/>
      <c r="AT574" s="181"/>
      <c r="AU574" s="181"/>
      <c r="AV574" s="181"/>
      <c r="AW574" s="181"/>
    </row>
    <row r="575" spans="1:49" ht="13.5" customHeight="1" x14ac:dyDescent="0.3">
      <c r="A575" s="1"/>
      <c r="B575" s="181"/>
      <c r="C575" s="181"/>
      <c r="D575" s="181"/>
      <c r="E575" s="182"/>
      <c r="F575" s="182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  <c r="AC575" s="181"/>
      <c r="AD575" s="181"/>
      <c r="AE575" s="181"/>
      <c r="AF575" s="181"/>
      <c r="AG575" s="181"/>
      <c r="AH575" s="181"/>
      <c r="AI575" s="181"/>
      <c r="AJ575" s="181"/>
      <c r="AK575" s="181"/>
      <c r="AL575" s="181"/>
      <c r="AM575" s="181"/>
      <c r="AN575" s="181"/>
      <c r="AO575" s="181"/>
      <c r="AP575" s="181"/>
      <c r="AQ575" s="181"/>
      <c r="AR575" s="181"/>
      <c r="AS575" s="181"/>
      <c r="AT575" s="181"/>
      <c r="AU575" s="181"/>
      <c r="AV575" s="181"/>
      <c r="AW575" s="181"/>
    </row>
    <row r="576" spans="1:49" ht="13.5" customHeight="1" x14ac:dyDescent="0.3">
      <c r="A576" s="1"/>
      <c r="B576" s="181"/>
      <c r="C576" s="181"/>
      <c r="D576" s="181"/>
      <c r="E576" s="182"/>
      <c r="F576" s="182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  <c r="AC576" s="181"/>
      <c r="AD576" s="181"/>
      <c r="AE576" s="181"/>
      <c r="AF576" s="181"/>
      <c r="AG576" s="181"/>
      <c r="AH576" s="181"/>
      <c r="AI576" s="181"/>
      <c r="AJ576" s="181"/>
      <c r="AK576" s="181"/>
      <c r="AL576" s="181"/>
      <c r="AM576" s="181"/>
      <c r="AN576" s="181"/>
      <c r="AO576" s="181"/>
      <c r="AP576" s="181"/>
      <c r="AQ576" s="181"/>
      <c r="AR576" s="181"/>
      <c r="AS576" s="181"/>
      <c r="AT576" s="181"/>
      <c r="AU576" s="181"/>
      <c r="AV576" s="181"/>
      <c r="AW576" s="181"/>
    </row>
    <row r="577" spans="1:49" ht="13.5" customHeight="1" x14ac:dyDescent="0.3">
      <c r="A577" s="1"/>
      <c r="B577" s="181"/>
      <c r="C577" s="181"/>
      <c r="D577" s="181"/>
      <c r="E577" s="182"/>
      <c r="F577" s="182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  <c r="AC577" s="181"/>
      <c r="AD577" s="181"/>
      <c r="AE577" s="181"/>
      <c r="AF577" s="181"/>
      <c r="AG577" s="181"/>
      <c r="AH577" s="181"/>
      <c r="AI577" s="181"/>
      <c r="AJ577" s="181"/>
      <c r="AK577" s="181"/>
      <c r="AL577" s="181"/>
      <c r="AM577" s="181"/>
      <c r="AN577" s="181"/>
      <c r="AO577" s="181"/>
      <c r="AP577" s="181"/>
      <c r="AQ577" s="181"/>
      <c r="AR577" s="181"/>
      <c r="AS577" s="181"/>
      <c r="AT577" s="181"/>
      <c r="AU577" s="181"/>
      <c r="AV577" s="181"/>
      <c r="AW577" s="181"/>
    </row>
    <row r="578" spans="1:49" ht="13.5" customHeight="1" x14ac:dyDescent="0.3">
      <c r="A578" s="1"/>
      <c r="B578" s="181"/>
      <c r="C578" s="181"/>
      <c r="D578" s="181"/>
      <c r="E578" s="182"/>
      <c r="F578" s="182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  <c r="AC578" s="181"/>
      <c r="AD578" s="181"/>
      <c r="AE578" s="181"/>
      <c r="AF578" s="181"/>
      <c r="AG578" s="181"/>
      <c r="AH578" s="181"/>
      <c r="AI578" s="181"/>
      <c r="AJ578" s="181"/>
      <c r="AK578" s="181"/>
      <c r="AL578" s="181"/>
      <c r="AM578" s="181"/>
      <c r="AN578" s="181"/>
      <c r="AO578" s="181"/>
      <c r="AP578" s="181"/>
      <c r="AQ578" s="181"/>
      <c r="AR578" s="181"/>
      <c r="AS578" s="181"/>
      <c r="AT578" s="181"/>
      <c r="AU578" s="181"/>
      <c r="AV578" s="181"/>
      <c r="AW578" s="181"/>
    </row>
    <row r="579" spans="1:49" ht="13.5" customHeight="1" x14ac:dyDescent="0.3">
      <c r="A579" s="1"/>
      <c r="B579" s="181"/>
      <c r="C579" s="181"/>
      <c r="D579" s="181"/>
      <c r="E579" s="182"/>
      <c r="F579" s="182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  <c r="AC579" s="181"/>
      <c r="AD579" s="181"/>
      <c r="AE579" s="181"/>
      <c r="AF579" s="181"/>
      <c r="AG579" s="181"/>
      <c r="AH579" s="181"/>
      <c r="AI579" s="181"/>
      <c r="AJ579" s="181"/>
      <c r="AK579" s="181"/>
      <c r="AL579" s="181"/>
      <c r="AM579" s="181"/>
      <c r="AN579" s="181"/>
      <c r="AO579" s="181"/>
      <c r="AP579" s="181"/>
      <c r="AQ579" s="181"/>
      <c r="AR579" s="181"/>
      <c r="AS579" s="181"/>
      <c r="AT579" s="181"/>
      <c r="AU579" s="181"/>
      <c r="AV579" s="181"/>
      <c r="AW579" s="181"/>
    </row>
    <row r="580" spans="1:49" ht="13.5" customHeight="1" x14ac:dyDescent="0.3">
      <c r="A580" s="1"/>
      <c r="B580" s="181"/>
      <c r="C580" s="181"/>
      <c r="D580" s="181"/>
      <c r="E580" s="182"/>
      <c r="F580" s="182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  <c r="AC580" s="181"/>
      <c r="AD580" s="181"/>
      <c r="AE580" s="181"/>
      <c r="AF580" s="181"/>
      <c r="AG580" s="181"/>
      <c r="AH580" s="181"/>
      <c r="AI580" s="181"/>
      <c r="AJ580" s="181"/>
      <c r="AK580" s="181"/>
      <c r="AL580" s="181"/>
      <c r="AM580" s="181"/>
      <c r="AN580" s="181"/>
      <c r="AO580" s="181"/>
      <c r="AP580" s="181"/>
      <c r="AQ580" s="181"/>
      <c r="AR580" s="181"/>
      <c r="AS580" s="181"/>
      <c r="AT580" s="181"/>
      <c r="AU580" s="181"/>
      <c r="AV580" s="181"/>
      <c r="AW580" s="181"/>
    </row>
    <row r="581" spans="1:49" ht="13.5" customHeight="1" x14ac:dyDescent="0.3">
      <c r="A581" s="1"/>
      <c r="B581" s="181"/>
      <c r="C581" s="181"/>
      <c r="D581" s="181"/>
      <c r="E581" s="182"/>
      <c r="F581" s="182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  <c r="AC581" s="181"/>
      <c r="AD581" s="181"/>
      <c r="AE581" s="181"/>
      <c r="AF581" s="181"/>
      <c r="AG581" s="181"/>
      <c r="AH581" s="181"/>
      <c r="AI581" s="181"/>
      <c r="AJ581" s="181"/>
      <c r="AK581" s="181"/>
      <c r="AL581" s="181"/>
      <c r="AM581" s="181"/>
      <c r="AN581" s="181"/>
      <c r="AO581" s="181"/>
      <c r="AP581" s="181"/>
      <c r="AQ581" s="181"/>
      <c r="AR581" s="181"/>
      <c r="AS581" s="181"/>
      <c r="AT581" s="181"/>
      <c r="AU581" s="181"/>
      <c r="AV581" s="181"/>
      <c r="AW581" s="181"/>
    </row>
    <row r="582" spans="1:49" ht="13.5" customHeight="1" x14ac:dyDescent="0.3">
      <c r="A582" s="1"/>
      <c r="B582" s="181"/>
      <c r="C582" s="181"/>
      <c r="D582" s="181"/>
      <c r="E582" s="182"/>
      <c r="F582" s="182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  <c r="AC582" s="181"/>
      <c r="AD582" s="181"/>
      <c r="AE582" s="181"/>
      <c r="AF582" s="181"/>
      <c r="AG582" s="181"/>
      <c r="AH582" s="181"/>
      <c r="AI582" s="181"/>
      <c r="AJ582" s="181"/>
      <c r="AK582" s="181"/>
      <c r="AL582" s="181"/>
      <c r="AM582" s="181"/>
      <c r="AN582" s="181"/>
      <c r="AO582" s="181"/>
      <c r="AP582" s="181"/>
      <c r="AQ582" s="181"/>
      <c r="AR582" s="181"/>
      <c r="AS582" s="181"/>
      <c r="AT582" s="181"/>
      <c r="AU582" s="181"/>
      <c r="AV582" s="181"/>
      <c r="AW582" s="181"/>
    </row>
    <row r="583" spans="1:49" ht="13.5" customHeight="1" x14ac:dyDescent="0.3">
      <c r="A583" s="1"/>
      <c r="B583" s="181"/>
      <c r="C583" s="181"/>
      <c r="D583" s="181"/>
      <c r="E583" s="182"/>
      <c r="F583" s="182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  <c r="AC583" s="181"/>
      <c r="AD583" s="181"/>
      <c r="AE583" s="181"/>
      <c r="AF583" s="181"/>
      <c r="AG583" s="181"/>
      <c r="AH583" s="181"/>
      <c r="AI583" s="181"/>
      <c r="AJ583" s="181"/>
      <c r="AK583" s="181"/>
      <c r="AL583" s="181"/>
      <c r="AM583" s="181"/>
      <c r="AN583" s="181"/>
      <c r="AO583" s="181"/>
      <c r="AP583" s="181"/>
      <c r="AQ583" s="181"/>
      <c r="AR583" s="181"/>
      <c r="AS583" s="181"/>
      <c r="AT583" s="181"/>
      <c r="AU583" s="181"/>
      <c r="AV583" s="181"/>
      <c r="AW583" s="181"/>
    </row>
    <row r="584" spans="1:49" ht="13.5" customHeight="1" x14ac:dyDescent="0.3">
      <c r="A584" s="1"/>
      <c r="B584" s="181"/>
      <c r="C584" s="181"/>
      <c r="D584" s="181"/>
      <c r="E584" s="182"/>
      <c r="F584" s="182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  <c r="AC584" s="181"/>
      <c r="AD584" s="181"/>
      <c r="AE584" s="181"/>
      <c r="AF584" s="181"/>
      <c r="AG584" s="181"/>
      <c r="AH584" s="181"/>
      <c r="AI584" s="181"/>
      <c r="AJ584" s="181"/>
      <c r="AK584" s="181"/>
      <c r="AL584" s="181"/>
      <c r="AM584" s="181"/>
      <c r="AN584" s="181"/>
      <c r="AO584" s="181"/>
      <c r="AP584" s="181"/>
      <c r="AQ584" s="181"/>
      <c r="AR584" s="181"/>
      <c r="AS584" s="181"/>
      <c r="AT584" s="181"/>
      <c r="AU584" s="181"/>
      <c r="AV584" s="181"/>
      <c r="AW584" s="181"/>
    </row>
    <row r="585" spans="1:49" ht="13.5" customHeight="1" x14ac:dyDescent="0.3">
      <c r="A585" s="1"/>
      <c r="B585" s="181"/>
      <c r="C585" s="181"/>
      <c r="D585" s="181"/>
      <c r="E585" s="182"/>
      <c r="F585" s="182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  <c r="AC585" s="181"/>
      <c r="AD585" s="181"/>
      <c r="AE585" s="181"/>
      <c r="AF585" s="181"/>
      <c r="AG585" s="181"/>
      <c r="AH585" s="181"/>
      <c r="AI585" s="181"/>
      <c r="AJ585" s="181"/>
      <c r="AK585" s="181"/>
      <c r="AL585" s="181"/>
      <c r="AM585" s="181"/>
      <c r="AN585" s="181"/>
      <c r="AO585" s="181"/>
      <c r="AP585" s="181"/>
      <c r="AQ585" s="181"/>
      <c r="AR585" s="181"/>
      <c r="AS585" s="181"/>
      <c r="AT585" s="181"/>
      <c r="AU585" s="181"/>
      <c r="AV585" s="181"/>
      <c r="AW585" s="181"/>
    </row>
    <row r="586" spans="1:49" ht="13.5" customHeight="1" x14ac:dyDescent="0.3">
      <c r="A586" s="1"/>
      <c r="B586" s="181"/>
      <c r="C586" s="181"/>
      <c r="D586" s="181"/>
      <c r="E586" s="182"/>
      <c r="F586" s="182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  <c r="AC586" s="181"/>
      <c r="AD586" s="181"/>
      <c r="AE586" s="181"/>
      <c r="AF586" s="181"/>
      <c r="AG586" s="181"/>
      <c r="AH586" s="181"/>
      <c r="AI586" s="181"/>
      <c r="AJ586" s="181"/>
      <c r="AK586" s="181"/>
      <c r="AL586" s="181"/>
      <c r="AM586" s="181"/>
      <c r="AN586" s="181"/>
      <c r="AO586" s="181"/>
      <c r="AP586" s="181"/>
      <c r="AQ586" s="181"/>
      <c r="AR586" s="181"/>
      <c r="AS586" s="181"/>
      <c r="AT586" s="181"/>
      <c r="AU586" s="181"/>
      <c r="AV586" s="181"/>
      <c r="AW586" s="181"/>
    </row>
    <row r="587" spans="1:49" ht="13.5" customHeight="1" x14ac:dyDescent="0.3">
      <c r="A587" s="1"/>
      <c r="B587" s="181"/>
      <c r="C587" s="181"/>
      <c r="D587" s="181"/>
      <c r="E587" s="182"/>
      <c r="F587" s="182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  <c r="AC587" s="181"/>
      <c r="AD587" s="181"/>
      <c r="AE587" s="181"/>
      <c r="AF587" s="181"/>
      <c r="AG587" s="181"/>
      <c r="AH587" s="181"/>
      <c r="AI587" s="181"/>
      <c r="AJ587" s="181"/>
      <c r="AK587" s="181"/>
      <c r="AL587" s="181"/>
      <c r="AM587" s="181"/>
      <c r="AN587" s="181"/>
      <c r="AO587" s="181"/>
      <c r="AP587" s="181"/>
      <c r="AQ587" s="181"/>
      <c r="AR587" s="181"/>
      <c r="AS587" s="181"/>
      <c r="AT587" s="181"/>
      <c r="AU587" s="181"/>
      <c r="AV587" s="181"/>
      <c r="AW587" s="181"/>
    </row>
    <row r="588" spans="1:49" ht="13.5" customHeight="1" x14ac:dyDescent="0.3">
      <c r="A588" s="1"/>
      <c r="B588" s="181"/>
      <c r="C588" s="181"/>
      <c r="D588" s="181"/>
      <c r="E588" s="182"/>
      <c r="F588" s="182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  <c r="AC588" s="181"/>
      <c r="AD588" s="181"/>
      <c r="AE588" s="181"/>
      <c r="AF588" s="181"/>
      <c r="AG588" s="181"/>
      <c r="AH588" s="181"/>
      <c r="AI588" s="181"/>
      <c r="AJ588" s="181"/>
      <c r="AK588" s="181"/>
      <c r="AL588" s="181"/>
      <c r="AM588" s="181"/>
      <c r="AN588" s="181"/>
      <c r="AO588" s="181"/>
      <c r="AP588" s="181"/>
      <c r="AQ588" s="181"/>
      <c r="AR588" s="181"/>
      <c r="AS588" s="181"/>
      <c r="AT588" s="181"/>
      <c r="AU588" s="181"/>
      <c r="AV588" s="181"/>
      <c r="AW588" s="181"/>
    </row>
    <row r="589" spans="1:49" ht="13.5" customHeight="1" x14ac:dyDescent="0.3">
      <c r="A589" s="1"/>
      <c r="B589" s="181"/>
      <c r="C589" s="181"/>
      <c r="D589" s="181"/>
      <c r="E589" s="182"/>
      <c r="F589" s="182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  <c r="AC589" s="181"/>
      <c r="AD589" s="181"/>
      <c r="AE589" s="181"/>
      <c r="AF589" s="181"/>
      <c r="AG589" s="181"/>
      <c r="AH589" s="181"/>
      <c r="AI589" s="181"/>
      <c r="AJ589" s="181"/>
      <c r="AK589" s="181"/>
      <c r="AL589" s="181"/>
      <c r="AM589" s="181"/>
      <c r="AN589" s="181"/>
      <c r="AO589" s="181"/>
      <c r="AP589" s="181"/>
      <c r="AQ589" s="181"/>
      <c r="AR589" s="181"/>
      <c r="AS589" s="181"/>
      <c r="AT589" s="181"/>
      <c r="AU589" s="181"/>
      <c r="AV589" s="181"/>
      <c r="AW589" s="181"/>
    </row>
    <row r="590" spans="1:49" ht="13.5" customHeight="1" x14ac:dyDescent="0.3">
      <c r="A590" s="1"/>
      <c r="B590" s="181"/>
      <c r="C590" s="181"/>
      <c r="D590" s="181"/>
      <c r="E590" s="182"/>
      <c r="F590" s="182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  <c r="AC590" s="181"/>
      <c r="AD590" s="181"/>
      <c r="AE590" s="181"/>
      <c r="AF590" s="181"/>
      <c r="AG590" s="181"/>
      <c r="AH590" s="181"/>
      <c r="AI590" s="181"/>
      <c r="AJ590" s="181"/>
      <c r="AK590" s="181"/>
      <c r="AL590" s="181"/>
      <c r="AM590" s="181"/>
      <c r="AN590" s="181"/>
      <c r="AO590" s="181"/>
      <c r="AP590" s="181"/>
      <c r="AQ590" s="181"/>
      <c r="AR590" s="181"/>
      <c r="AS590" s="181"/>
      <c r="AT590" s="181"/>
      <c r="AU590" s="181"/>
      <c r="AV590" s="181"/>
      <c r="AW590" s="181"/>
    </row>
    <row r="591" spans="1:49" ht="13.5" customHeight="1" x14ac:dyDescent="0.3">
      <c r="A591" s="1"/>
      <c r="B591" s="181"/>
      <c r="C591" s="181"/>
      <c r="D591" s="181"/>
      <c r="E591" s="182"/>
      <c r="F591" s="182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  <c r="AC591" s="181"/>
      <c r="AD591" s="181"/>
      <c r="AE591" s="181"/>
      <c r="AF591" s="181"/>
      <c r="AG591" s="181"/>
      <c r="AH591" s="181"/>
      <c r="AI591" s="181"/>
      <c r="AJ591" s="181"/>
      <c r="AK591" s="181"/>
      <c r="AL591" s="181"/>
      <c r="AM591" s="181"/>
      <c r="AN591" s="181"/>
      <c r="AO591" s="181"/>
      <c r="AP591" s="181"/>
      <c r="AQ591" s="181"/>
      <c r="AR591" s="181"/>
      <c r="AS591" s="181"/>
      <c r="AT591" s="181"/>
      <c r="AU591" s="181"/>
      <c r="AV591" s="181"/>
      <c r="AW591" s="181"/>
    </row>
    <row r="592" spans="1:49" ht="13.5" customHeight="1" x14ac:dyDescent="0.3">
      <c r="A592" s="1"/>
      <c r="B592" s="181"/>
      <c r="C592" s="181"/>
      <c r="D592" s="181"/>
      <c r="E592" s="182"/>
      <c r="F592" s="182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  <c r="AC592" s="181"/>
      <c r="AD592" s="181"/>
      <c r="AE592" s="181"/>
      <c r="AF592" s="181"/>
      <c r="AG592" s="181"/>
      <c r="AH592" s="181"/>
      <c r="AI592" s="181"/>
      <c r="AJ592" s="181"/>
      <c r="AK592" s="181"/>
      <c r="AL592" s="181"/>
      <c r="AM592" s="181"/>
      <c r="AN592" s="181"/>
      <c r="AO592" s="181"/>
      <c r="AP592" s="181"/>
      <c r="AQ592" s="181"/>
      <c r="AR592" s="181"/>
      <c r="AS592" s="181"/>
      <c r="AT592" s="181"/>
      <c r="AU592" s="181"/>
      <c r="AV592" s="181"/>
      <c r="AW592" s="181"/>
    </row>
    <row r="593" spans="1:49" ht="13.5" customHeight="1" x14ac:dyDescent="0.3">
      <c r="A593" s="1"/>
      <c r="B593" s="181"/>
      <c r="C593" s="181"/>
      <c r="D593" s="181"/>
      <c r="E593" s="182"/>
      <c r="F593" s="182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  <c r="AC593" s="181"/>
      <c r="AD593" s="181"/>
      <c r="AE593" s="181"/>
      <c r="AF593" s="181"/>
      <c r="AG593" s="181"/>
      <c r="AH593" s="181"/>
      <c r="AI593" s="181"/>
      <c r="AJ593" s="181"/>
      <c r="AK593" s="181"/>
      <c r="AL593" s="181"/>
      <c r="AM593" s="181"/>
      <c r="AN593" s="181"/>
      <c r="AO593" s="181"/>
      <c r="AP593" s="181"/>
      <c r="AQ593" s="181"/>
      <c r="AR593" s="181"/>
      <c r="AS593" s="181"/>
      <c r="AT593" s="181"/>
      <c r="AU593" s="181"/>
      <c r="AV593" s="181"/>
      <c r="AW593" s="181"/>
    </row>
    <row r="594" spans="1:49" ht="13.5" customHeight="1" x14ac:dyDescent="0.3">
      <c r="A594" s="1"/>
      <c r="B594" s="181"/>
      <c r="C594" s="181"/>
      <c r="D594" s="181"/>
      <c r="E594" s="182"/>
      <c r="F594" s="182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  <c r="AC594" s="181"/>
      <c r="AD594" s="181"/>
      <c r="AE594" s="181"/>
      <c r="AF594" s="181"/>
      <c r="AG594" s="181"/>
      <c r="AH594" s="181"/>
      <c r="AI594" s="181"/>
      <c r="AJ594" s="181"/>
      <c r="AK594" s="181"/>
      <c r="AL594" s="181"/>
      <c r="AM594" s="181"/>
      <c r="AN594" s="181"/>
      <c r="AO594" s="181"/>
      <c r="AP594" s="181"/>
      <c r="AQ594" s="181"/>
      <c r="AR594" s="181"/>
      <c r="AS594" s="181"/>
      <c r="AT594" s="181"/>
      <c r="AU594" s="181"/>
      <c r="AV594" s="181"/>
      <c r="AW594" s="181"/>
    </row>
    <row r="595" spans="1:49" ht="13.5" customHeight="1" x14ac:dyDescent="0.3">
      <c r="A595" s="1"/>
      <c r="B595" s="181"/>
      <c r="C595" s="181"/>
      <c r="D595" s="181"/>
      <c r="E595" s="182"/>
      <c r="F595" s="182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  <c r="AC595" s="181"/>
      <c r="AD595" s="181"/>
      <c r="AE595" s="181"/>
      <c r="AF595" s="181"/>
      <c r="AG595" s="181"/>
      <c r="AH595" s="181"/>
      <c r="AI595" s="181"/>
      <c r="AJ595" s="181"/>
      <c r="AK595" s="181"/>
      <c r="AL595" s="181"/>
      <c r="AM595" s="181"/>
      <c r="AN595" s="181"/>
      <c r="AO595" s="181"/>
      <c r="AP595" s="181"/>
      <c r="AQ595" s="181"/>
      <c r="AR595" s="181"/>
      <c r="AS595" s="181"/>
      <c r="AT595" s="181"/>
      <c r="AU595" s="181"/>
      <c r="AV595" s="181"/>
      <c r="AW595" s="181"/>
    </row>
    <row r="596" spans="1:49" ht="13.5" customHeight="1" x14ac:dyDescent="0.3">
      <c r="A596" s="1"/>
      <c r="B596" s="181"/>
      <c r="C596" s="181"/>
      <c r="D596" s="181"/>
      <c r="E596" s="182"/>
      <c r="F596" s="182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  <c r="AC596" s="181"/>
      <c r="AD596" s="181"/>
      <c r="AE596" s="181"/>
      <c r="AF596" s="181"/>
      <c r="AG596" s="181"/>
      <c r="AH596" s="181"/>
      <c r="AI596" s="181"/>
      <c r="AJ596" s="181"/>
      <c r="AK596" s="181"/>
      <c r="AL596" s="181"/>
      <c r="AM596" s="181"/>
      <c r="AN596" s="181"/>
      <c r="AO596" s="181"/>
      <c r="AP596" s="181"/>
      <c r="AQ596" s="181"/>
      <c r="AR596" s="181"/>
      <c r="AS596" s="181"/>
      <c r="AT596" s="181"/>
      <c r="AU596" s="181"/>
      <c r="AV596" s="181"/>
      <c r="AW596" s="181"/>
    </row>
    <row r="597" spans="1:49" ht="13.5" customHeight="1" x14ac:dyDescent="0.3">
      <c r="A597" s="1"/>
      <c r="B597" s="181"/>
      <c r="C597" s="181"/>
      <c r="D597" s="181"/>
      <c r="E597" s="182"/>
      <c r="F597" s="182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  <c r="AC597" s="181"/>
      <c r="AD597" s="181"/>
      <c r="AE597" s="181"/>
      <c r="AF597" s="181"/>
      <c r="AG597" s="181"/>
      <c r="AH597" s="181"/>
      <c r="AI597" s="181"/>
      <c r="AJ597" s="181"/>
      <c r="AK597" s="181"/>
      <c r="AL597" s="181"/>
      <c r="AM597" s="181"/>
      <c r="AN597" s="181"/>
      <c r="AO597" s="181"/>
      <c r="AP597" s="181"/>
      <c r="AQ597" s="181"/>
      <c r="AR597" s="181"/>
      <c r="AS597" s="181"/>
      <c r="AT597" s="181"/>
      <c r="AU597" s="181"/>
      <c r="AV597" s="181"/>
      <c r="AW597" s="181"/>
    </row>
    <row r="598" spans="1:49" ht="13.5" customHeight="1" x14ac:dyDescent="0.3">
      <c r="A598" s="1"/>
      <c r="B598" s="181"/>
      <c r="C598" s="181"/>
      <c r="D598" s="181"/>
      <c r="E598" s="182"/>
      <c r="F598" s="182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  <c r="AC598" s="181"/>
      <c r="AD598" s="181"/>
      <c r="AE598" s="181"/>
      <c r="AF598" s="181"/>
      <c r="AG598" s="181"/>
      <c r="AH598" s="181"/>
      <c r="AI598" s="181"/>
      <c r="AJ598" s="181"/>
      <c r="AK598" s="181"/>
      <c r="AL598" s="181"/>
      <c r="AM598" s="181"/>
      <c r="AN598" s="181"/>
      <c r="AO598" s="181"/>
      <c r="AP598" s="181"/>
      <c r="AQ598" s="181"/>
      <c r="AR598" s="181"/>
      <c r="AS598" s="181"/>
      <c r="AT598" s="181"/>
      <c r="AU598" s="181"/>
      <c r="AV598" s="181"/>
      <c r="AW598" s="181"/>
    </row>
    <row r="599" spans="1:49" ht="13.5" customHeight="1" x14ac:dyDescent="0.3">
      <c r="A599" s="1"/>
      <c r="B599" s="181"/>
      <c r="C599" s="181"/>
      <c r="D599" s="181"/>
      <c r="E599" s="182"/>
      <c r="F599" s="182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  <c r="AC599" s="181"/>
      <c r="AD599" s="181"/>
      <c r="AE599" s="181"/>
      <c r="AF599" s="181"/>
      <c r="AG599" s="181"/>
      <c r="AH599" s="181"/>
      <c r="AI599" s="181"/>
      <c r="AJ599" s="181"/>
      <c r="AK599" s="181"/>
      <c r="AL599" s="181"/>
      <c r="AM599" s="181"/>
      <c r="AN599" s="181"/>
      <c r="AO599" s="181"/>
      <c r="AP599" s="181"/>
      <c r="AQ599" s="181"/>
      <c r="AR599" s="181"/>
      <c r="AS599" s="181"/>
      <c r="AT599" s="181"/>
      <c r="AU599" s="181"/>
      <c r="AV599" s="181"/>
      <c r="AW599" s="181"/>
    </row>
    <row r="600" spans="1:49" ht="13.5" customHeight="1" x14ac:dyDescent="0.3">
      <c r="A600" s="1"/>
      <c r="B600" s="181"/>
      <c r="C600" s="181"/>
      <c r="D600" s="181"/>
      <c r="E600" s="182"/>
      <c r="F600" s="182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  <c r="AC600" s="181"/>
      <c r="AD600" s="181"/>
      <c r="AE600" s="181"/>
      <c r="AF600" s="181"/>
      <c r="AG600" s="181"/>
      <c r="AH600" s="181"/>
      <c r="AI600" s="181"/>
      <c r="AJ600" s="181"/>
      <c r="AK600" s="181"/>
      <c r="AL600" s="181"/>
      <c r="AM600" s="181"/>
      <c r="AN600" s="181"/>
      <c r="AO600" s="181"/>
      <c r="AP600" s="181"/>
      <c r="AQ600" s="181"/>
      <c r="AR600" s="181"/>
      <c r="AS600" s="181"/>
      <c r="AT600" s="181"/>
      <c r="AU600" s="181"/>
      <c r="AV600" s="181"/>
      <c r="AW600" s="181"/>
    </row>
    <row r="601" spans="1:49" ht="13.5" customHeight="1" x14ac:dyDescent="0.3">
      <c r="A601" s="1"/>
      <c r="B601" s="181"/>
      <c r="C601" s="181"/>
      <c r="D601" s="181"/>
      <c r="E601" s="182"/>
      <c r="F601" s="182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  <c r="AC601" s="181"/>
      <c r="AD601" s="181"/>
      <c r="AE601" s="181"/>
      <c r="AF601" s="181"/>
      <c r="AG601" s="181"/>
      <c r="AH601" s="181"/>
      <c r="AI601" s="181"/>
      <c r="AJ601" s="181"/>
      <c r="AK601" s="181"/>
      <c r="AL601" s="181"/>
      <c r="AM601" s="181"/>
      <c r="AN601" s="181"/>
      <c r="AO601" s="181"/>
      <c r="AP601" s="181"/>
      <c r="AQ601" s="181"/>
      <c r="AR601" s="181"/>
      <c r="AS601" s="181"/>
      <c r="AT601" s="181"/>
      <c r="AU601" s="181"/>
      <c r="AV601" s="181"/>
      <c r="AW601" s="181"/>
    </row>
    <row r="602" spans="1:49" ht="13.5" customHeight="1" x14ac:dyDescent="0.3">
      <c r="A602" s="1"/>
      <c r="B602" s="181"/>
      <c r="C602" s="181"/>
      <c r="D602" s="181"/>
      <c r="E602" s="182"/>
      <c r="F602" s="182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  <c r="AC602" s="181"/>
      <c r="AD602" s="181"/>
      <c r="AE602" s="181"/>
      <c r="AF602" s="181"/>
      <c r="AG602" s="181"/>
      <c r="AH602" s="181"/>
      <c r="AI602" s="181"/>
      <c r="AJ602" s="181"/>
      <c r="AK602" s="181"/>
      <c r="AL602" s="181"/>
      <c r="AM602" s="181"/>
      <c r="AN602" s="181"/>
      <c r="AO602" s="181"/>
      <c r="AP602" s="181"/>
      <c r="AQ602" s="181"/>
      <c r="AR602" s="181"/>
      <c r="AS602" s="181"/>
      <c r="AT602" s="181"/>
      <c r="AU602" s="181"/>
      <c r="AV602" s="181"/>
      <c r="AW602" s="181"/>
    </row>
    <row r="603" spans="1:49" ht="13.5" customHeight="1" x14ac:dyDescent="0.3">
      <c r="A603" s="1"/>
      <c r="B603" s="181"/>
      <c r="C603" s="181"/>
      <c r="D603" s="181"/>
      <c r="E603" s="182"/>
      <c r="F603" s="182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  <c r="AC603" s="181"/>
      <c r="AD603" s="181"/>
      <c r="AE603" s="181"/>
      <c r="AF603" s="181"/>
      <c r="AG603" s="181"/>
      <c r="AH603" s="181"/>
      <c r="AI603" s="181"/>
      <c r="AJ603" s="181"/>
      <c r="AK603" s="181"/>
      <c r="AL603" s="181"/>
      <c r="AM603" s="181"/>
      <c r="AN603" s="181"/>
      <c r="AO603" s="181"/>
      <c r="AP603" s="181"/>
      <c r="AQ603" s="181"/>
      <c r="AR603" s="181"/>
      <c r="AS603" s="181"/>
      <c r="AT603" s="181"/>
      <c r="AU603" s="181"/>
      <c r="AV603" s="181"/>
      <c r="AW603" s="181"/>
    </row>
    <row r="604" spans="1:49" ht="13.5" customHeight="1" x14ac:dyDescent="0.3">
      <c r="A604" s="1"/>
      <c r="B604" s="181"/>
      <c r="C604" s="181"/>
      <c r="D604" s="181"/>
      <c r="E604" s="182"/>
      <c r="F604" s="182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  <c r="AC604" s="181"/>
      <c r="AD604" s="181"/>
      <c r="AE604" s="181"/>
      <c r="AF604" s="181"/>
      <c r="AG604" s="181"/>
      <c r="AH604" s="181"/>
      <c r="AI604" s="181"/>
      <c r="AJ604" s="181"/>
      <c r="AK604" s="181"/>
      <c r="AL604" s="181"/>
      <c r="AM604" s="181"/>
      <c r="AN604" s="181"/>
      <c r="AO604" s="181"/>
      <c r="AP604" s="181"/>
      <c r="AQ604" s="181"/>
      <c r="AR604" s="181"/>
      <c r="AS604" s="181"/>
      <c r="AT604" s="181"/>
      <c r="AU604" s="181"/>
      <c r="AV604" s="181"/>
      <c r="AW604" s="181"/>
    </row>
    <row r="605" spans="1:49" ht="13.5" customHeight="1" x14ac:dyDescent="0.3">
      <c r="A605" s="1"/>
      <c r="B605" s="181"/>
      <c r="C605" s="181"/>
      <c r="D605" s="181"/>
      <c r="E605" s="182"/>
      <c r="F605" s="182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  <c r="AC605" s="181"/>
      <c r="AD605" s="181"/>
      <c r="AE605" s="181"/>
      <c r="AF605" s="181"/>
      <c r="AG605" s="181"/>
      <c r="AH605" s="181"/>
      <c r="AI605" s="181"/>
      <c r="AJ605" s="181"/>
      <c r="AK605" s="181"/>
      <c r="AL605" s="181"/>
      <c r="AM605" s="181"/>
      <c r="AN605" s="181"/>
      <c r="AO605" s="181"/>
      <c r="AP605" s="181"/>
      <c r="AQ605" s="181"/>
      <c r="AR605" s="181"/>
      <c r="AS605" s="181"/>
      <c r="AT605" s="181"/>
      <c r="AU605" s="181"/>
      <c r="AV605" s="181"/>
      <c r="AW605" s="181"/>
    </row>
    <row r="606" spans="1:49" ht="13.5" customHeight="1" x14ac:dyDescent="0.3">
      <c r="A606" s="1"/>
      <c r="B606" s="181"/>
      <c r="C606" s="181"/>
      <c r="D606" s="181"/>
      <c r="E606" s="182"/>
      <c r="F606" s="182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  <c r="AC606" s="181"/>
      <c r="AD606" s="181"/>
      <c r="AE606" s="181"/>
      <c r="AF606" s="181"/>
      <c r="AG606" s="181"/>
      <c r="AH606" s="181"/>
      <c r="AI606" s="181"/>
      <c r="AJ606" s="181"/>
      <c r="AK606" s="181"/>
      <c r="AL606" s="181"/>
      <c r="AM606" s="181"/>
      <c r="AN606" s="181"/>
      <c r="AO606" s="181"/>
      <c r="AP606" s="181"/>
      <c r="AQ606" s="181"/>
      <c r="AR606" s="181"/>
      <c r="AS606" s="181"/>
      <c r="AT606" s="181"/>
      <c r="AU606" s="181"/>
      <c r="AV606" s="181"/>
      <c r="AW606" s="181"/>
    </row>
    <row r="607" spans="1:49" ht="13.5" customHeight="1" x14ac:dyDescent="0.3">
      <c r="A607" s="1"/>
      <c r="B607" s="181"/>
      <c r="C607" s="181"/>
      <c r="D607" s="181"/>
      <c r="E607" s="182"/>
      <c r="F607" s="182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  <c r="AC607" s="181"/>
      <c r="AD607" s="181"/>
      <c r="AE607" s="181"/>
      <c r="AF607" s="181"/>
      <c r="AG607" s="181"/>
      <c r="AH607" s="181"/>
      <c r="AI607" s="181"/>
      <c r="AJ607" s="181"/>
      <c r="AK607" s="181"/>
      <c r="AL607" s="181"/>
      <c r="AM607" s="181"/>
      <c r="AN607" s="181"/>
      <c r="AO607" s="181"/>
      <c r="AP607" s="181"/>
      <c r="AQ607" s="181"/>
      <c r="AR607" s="181"/>
      <c r="AS607" s="181"/>
      <c r="AT607" s="181"/>
      <c r="AU607" s="181"/>
      <c r="AV607" s="181"/>
      <c r="AW607" s="181"/>
    </row>
    <row r="608" spans="1:49" ht="13.5" customHeight="1" x14ac:dyDescent="0.3">
      <c r="A608" s="1"/>
      <c r="B608" s="181"/>
      <c r="C608" s="181"/>
      <c r="D608" s="181"/>
      <c r="E608" s="182"/>
      <c r="F608" s="182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  <c r="AC608" s="181"/>
      <c r="AD608" s="181"/>
      <c r="AE608" s="181"/>
      <c r="AF608" s="181"/>
      <c r="AG608" s="181"/>
      <c r="AH608" s="181"/>
      <c r="AI608" s="181"/>
      <c r="AJ608" s="181"/>
      <c r="AK608" s="181"/>
      <c r="AL608" s="181"/>
      <c r="AM608" s="181"/>
      <c r="AN608" s="181"/>
      <c r="AO608" s="181"/>
      <c r="AP608" s="181"/>
      <c r="AQ608" s="181"/>
      <c r="AR608" s="181"/>
      <c r="AS608" s="181"/>
      <c r="AT608" s="181"/>
      <c r="AU608" s="181"/>
      <c r="AV608" s="181"/>
      <c r="AW608" s="181"/>
    </row>
    <row r="609" spans="1:49" ht="13.5" customHeight="1" x14ac:dyDescent="0.3">
      <c r="A609" s="1"/>
      <c r="B609" s="181"/>
      <c r="C609" s="181"/>
      <c r="D609" s="181"/>
      <c r="E609" s="182"/>
      <c r="F609" s="182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  <c r="AC609" s="181"/>
      <c r="AD609" s="181"/>
      <c r="AE609" s="181"/>
      <c r="AF609" s="181"/>
      <c r="AG609" s="181"/>
      <c r="AH609" s="181"/>
      <c r="AI609" s="181"/>
      <c r="AJ609" s="181"/>
      <c r="AK609" s="181"/>
      <c r="AL609" s="181"/>
      <c r="AM609" s="181"/>
      <c r="AN609" s="181"/>
      <c r="AO609" s="181"/>
      <c r="AP609" s="181"/>
      <c r="AQ609" s="181"/>
      <c r="AR609" s="181"/>
      <c r="AS609" s="181"/>
      <c r="AT609" s="181"/>
      <c r="AU609" s="181"/>
      <c r="AV609" s="181"/>
      <c r="AW609" s="181"/>
    </row>
    <row r="610" spans="1:49" ht="13.5" customHeight="1" x14ac:dyDescent="0.3">
      <c r="A610" s="1"/>
      <c r="B610" s="181"/>
      <c r="C610" s="181"/>
      <c r="D610" s="181"/>
      <c r="E610" s="182"/>
      <c r="F610" s="182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  <c r="AC610" s="181"/>
      <c r="AD610" s="181"/>
      <c r="AE610" s="181"/>
      <c r="AF610" s="181"/>
      <c r="AG610" s="181"/>
      <c r="AH610" s="181"/>
      <c r="AI610" s="181"/>
      <c r="AJ610" s="181"/>
      <c r="AK610" s="181"/>
      <c r="AL610" s="181"/>
      <c r="AM610" s="181"/>
      <c r="AN610" s="181"/>
      <c r="AO610" s="181"/>
      <c r="AP610" s="181"/>
      <c r="AQ610" s="181"/>
      <c r="AR610" s="181"/>
      <c r="AS610" s="181"/>
      <c r="AT610" s="181"/>
      <c r="AU610" s="181"/>
      <c r="AV610" s="181"/>
      <c r="AW610" s="181"/>
    </row>
    <row r="611" spans="1:49" ht="13.5" customHeight="1" x14ac:dyDescent="0.3">
      <c r="A611" s="1"/>
      <c r="B611" s="181"/>
      <c r="C611" s="181"/>
      <c r="D611" s="181"/>
      <c r="E611" s="182"/>
      <c r="F611" s="182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  <c r="AC611" s="181"/>
      <c r="AD611" s="181"/>
      <c r="AE611" s="181"/>
      <c r="AF611" s="181"/>
      <c r="AG611" s="181"/>
      <c r="AH611" s="181"/>
      <c r="AI611" s="181"/>
      <c r="AJ611" s="181"/>
      <c r="AK611" s="181"/>
      <c r="AL611" s="181"/>
      <c r="AM611" s="181"/>
      <c r="AN611" s="181"/>
      <c r="AO611" s="181"/>
      <c r="AP611" s="181"/>
      <c r="AQ611" s="181"/>
      <c r="AR611" s="181"/>
      <c r="AS611" s="181"/>
      <c r="AT611" s="181"/>
      <c r="AU611" s="181"/>
      <c r="AV611" s="181"/>
      <c r="AW611" s="181"/>
    </row>
    <row r="612" spans="1:49" ht="13.5" customHeight="1" x14ac:dyDescent="0.3">
      <c r="A612" s="1"/>
      <c r="B612" s="181"/>
      <c r="C612" s="181"/>
      <c r="D612" s="181"/>
      <c r="E612" s="182"/>
      <c r="F612" s="182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  <c r="AC612" s="181"/>
      <c r="AD612" s="181"/>
      <c r="AE612" s="181"/>
      <c r="AF612" s="181"/>
      <c r="AG612" s="181"/>
      <c r="AH612" s="181"/>
      <c r="AI612" s="181"/>
      <c r="AJ612" s="181"/>
      <c r="AK612" s="181"/>
      <c r="AL612" s="181"/>
      <c r="AM612" s="181"/>
      <c r="AN612" s="181"/>
      <c r="AO612" s="181"/>
      <c r="AP612" s="181"/>
      <c r="AQ612" s="181"/>
      <c r="AR612" s="181"/>
      <c r="AS612" s="181"/>
      <c r="AT612" s="181"/>
      <c r="AU612" s="181"/>
      <c r="AV612" s="181"/>
      <c r="AW612" s="181"/>
    </row>
    <row r="613" spans="1:49" ht="13.5" customHeight="1" x14ac:dyDescent="0.3">
      <c r="A613" s="1"/>
      <c r="B613" s="181"/>
      <c r="C613" s="181"/>
      <c r="D613" s="181"/>
      <c r="E613" s="182"/>
      <c r="F613" s="182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  <c r="AC613" s="181"/>
      <c r="AD613" s="181"/>
      <c r="AE613" s="181"/>
      <c r="AF613" s="181"/>
      <c r="AG613" s="181"/>
      <c r="AH613" s="181"/>
      <c r="AI613" s="181"/>
      <c r="AJ613" s="181"/>
      <c r="AK613" s="181"/>
      <c r="AL613" s="181"/>
      <c r="AM613" s="181"/>
      <c r="AN613" s="181"/>
      <c r="AO613" s="181"/>
      <c r="AP613" s="181"/>
      <c r="AQ613" s="181"/>
      <c r="AR613" s="181"/>
      <c r="AS613" s="181"/>
      <c r="AT613" s="181"/>
      <c r="AU613" s="181"/>
      <c r="AV613" s="181"/>
      <c r="AW613" s="181"/>
    </row>
    <row r="614" spans="1:49" ht="13.5" customHeight="1" x14ac:dyDescent="0.3">
      <c r="A614" s="1"/>
      <c r="B614" s="181"/>
      <c r="C614" s="181"/>
      <c r="D614" s="181"/>
      <c r="E614" s="182"/>
      <c r="F614" s="182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  <c r="AC614" s="181"/>
      <c r="AD614" s="181"/>
      <c r="AE614" s="181"/>
      <c r="AF614" s="181"/>
      <c r="AG614" s="181"/>
      <c r="AH614" s="181"/>
      <c r="AI614" s="181"/>
      <c r="AJ614" s="181"/>
      <c r="AK614" s="181"/>
      <c r="AL614" s="181"/>
      <c r="AM614" s="181"/>
      <c r="AN614" s="181"/>
      <c r="AO614" s="181"/>
      <c r="AP614" s="181"/>
      <c r="AQ614" s="181"/>
      <c r="AR614" s="181"/>
      <c r="AS614" s="181"/>
      <c r="AT614" s="181"/>
      <c r="AU614" s="181"/>
      <c r="AV614" s="181"/>
      <c r="AW614" s="181"/>
    </row>
    <row r="615" spans="1:49" ht="13.5" customHeight="1" x14ac:dyDescent="0.3">
      <c r="A615" s="1"/>
      <c r="B615" s="181"/>
      <c r="C615" s="181"/>
      <c r="D615" s="181"/>
      <c r="E615" s="182"/>
      <c r="F615" s="182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  <c r="AC615" s="181"/>
      <c r="AD615" s="181"/>
      <c r="AE615" s="181"/>
      <c r="AF615" s="181"/>
      <c r="AG615" s="181"/>
      <c r="AH615" s="181"/>
      <c r="AI615" s="181"/>
      <c r="AJ615" s="181"/>
      <c r="AK615" s="181"/>
      <c r="AL615" s="181"/>
      <c r="AM615" s="181"/>
      <c r="AN615" s="181"/>
      <c r="AO615" s="181"/>
      <c r="AP615" s="181"/>
      <c r="AQ615" s="181"/>
      <c r="AR615" s="181"/>
      <c r="AS615" s="181"/>
      <c r="AT615" s="181"/>
      <c r="AU615" s="181"/>
      <c r="AV615" s="181"/>
      <c r="AW615" s="181"/>
    </row>
    <row r="616" spans="1:49" ht="13.5" customHeight="1" x14ac:dyDescent="0.3">
      <c r="A616" s="1"/>
      <c r="B616" s="181"/>
      <c r="C616" s="181"/>
      <c r="D616" s="181"/>
      <c r="E616" s="182"/>
      <c r="F616" s="182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  <c r="AC616" s="181"/>
      <c r="AD616" s="181"/>
      <c r="AE616" s="181"/>
      <c r="AF616" s="181"/>
      <c r="AG616" s="181"/>
      <c r="AH616" s="181"/>
      <c r="AI616" s="181"/>
      <c r="AJ616" s="181"/>
      <c r="AK616" s="181"/>
      <c r="AL616" s="181"/>
      <c r="AM616" s="181"/>
      <c r="AN616" s="181"/>
      <c r="AO616" s="181"/>
      <c r="AP616" s="181"/>
      <c r="AQ616" s="181"/>
      <c r="AR616" s="181"/>
      <c r="AS616" s="181"/>
      <c r="AT616" s="181"/>
      <c r="AU616" s="181"/>
      <c r="AV616" s="181"/>
      <c r="AW616" s="181"/>
    </row>
    <row r="617" spans="1:49" ht="13.5" customHeight="1" x14ac:dyDescent="0.3">
      <c r="A617" s="1"/>
      <c r="B617" s="181"/>
      <c r="C617" s="181"/>
      <c r="D617" s="181"/>
      <c r="E617" s="182"/>
      <c r="F617" s="182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  <c r="AC617" s="181"/>
      <c r="AD617" s="181"/>
      <c r="AE617" s="181"/>
      <c r="AF617" s="181"/>
      <c r="AG617" s="181"/>
      <c r="AH617" s="181"/>
      <c r="AI617" s="181"/>
      <c r="AJ617" s="181"/>
      <c r="AK617" s="181"/>
      <c r="AL617" s="181"/>
      <c r="AM617" s="181"/>
      <c r="AN617" s="181"/>
      <c r="AO617" s="181"/>
      <c r="AP617" s="181"/>
      <c r="AQ617" s="181"/>
      <c r="AR617" s="181"/>
      <c r="AS617" s="181"/>
      <c r="AT617" s="181"/>
      <c r="AU617" s="181"/>
      <c r="AV617" s="181"/>
      <c r="AW617" s="181"/>
    </row>
    <row r="618" spans="1:49" ht="13.5" customHeight="1" x14ac:dyDescent="0.3">
      <c r="A618" s="1"/>
      <c r="B618" s="181"/>
      <c r="C618" s="181"/>
      <c r="D618" s="181"/>
      <c r="E618" s="182"/>
      <c r="F618" s="182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  <c r="AC618" s="181"/>
      <c r="AD618" s="181"/>
      <c r="AE618" s="181"/>
      <c r="AF618" s="181"/>
      <c r="AG618" s="181"/>
      <c r="AH618" s="181"/>
      <c r="AI618" s="181"/>
      <c r="AJ618" s="181"/>
      <c r="AK618" s="181"/>
      <c r="AL618" s="181"/>
      <c r="AM618" s="181"/>
      <c r="AN618" s="181"/>
      <c r="AO618" s="181"/>
      <c r="AP618" s="181"/>
      <c r="AQ618" s="181"/>
      <c r="AR618" s="181"/>
      <c r="AS618" s="181"/>
      <c r="AT618" s="181"/>
      <c r="AU618" s="181"/>
      <c r="AV618" s="181"/>
      <c r="AW618" s="181"/>
    </row>
    <row r="619" spans="1:49" ht="13.5" customHeight="1" x14ac:dyDescent="0.3">
      <c r="A619" s="1"/>
      <c r="B619" s="181"/>
      <c r="C619" s="181"/>
      <c r="D619" s="181"/>
      <c r="E619" s="182"/>
      <c r="F619" s="182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  <c r="AC619" s="181"/>
      <c r="AD619" s="181"/>
      <c r="AE619" s="181"/>
      <c r="AF619" s="181"/>
      <c r="AG619" s="181"/>
      <c r="AH619" s="181"/>
      <c r="AI619" s="181"/>
      <c r="AJ619" s="181"/>
      <c r="AK619" s="181"/>
      <c r="AL619" s="181"/>
      <c r="AM619" s="181"/>
      <c r="AN619" s="181"/>
      <c r="AO619" s="181"/>
      <c r="AP619" s="181"/>
      <c r="AQ619" s="181"/>
      <c r="AR619" s="181"/>
      <c r="AS619" s="181"/>
      <c r="AT619" s="181"/>
      <c r="AU619" s="181"/>
      <c r="AV619" s="181"/>
      <c r="AW619" s="181"/>
    </row>
    <row r="620" spans="1:49" ht="13.5" customHeight="1" x14ac:dyDescent="0.3">
      <c r="A620" s="1"/>
      <c r="B620" s="181"/>
      <c r="C620" s="181"/>
      <c r="D620" s="181"/>
      <c r="E620" s="182"/>
      <c r="F620" s="182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  <c r="AC620" s="181"/>
      <c r="AD620" s="181"/>
      <c r="AE620" s="181"/>
      <c r="AF620" s="181"/>
      <c r="AG620" s="181"/>
      <c r="AH620" s="181"/>
      <c r="AI620" s="181"/>
      <c r="AJ620" s="181"/>
      <c r="AK620" s="181"/>
      <c r="AL620" s="181"/>
      <c r="AM620" s="181"/>
      <c r="AN620" s="181"/>
      <c r="AO620" s="181"/>
      <c r="AP620" s="181"/>
      <c r="AQ620" s="181"/>
      <c r="AR620" s="181"/>
      <c r="AS620" s="181"/>
      <c r="AT620" s="181"/>
      <c r="AU620" s="181"/>
      <c r="AV620" s="181"/>
      <c r="AW620" s="181"/>
    </row>
    <row r="621" spans="1:49" ht="13.5" customHeight="1" x14ac:dyDescent="0.3">
      <c r="A621" s="1"/>
      <c r="B621" s="181"/>
      <c r="C621" s="181"/>
      <c r="D621" s="181"/>
      <c r="E621" s="182"/>
      <c r="F621" s="182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  <c r="AC621" s="181"/>
      <c r="AD621" s="181"/>
      <c r="AE621" s="181"/>
      <c r="AF621" s="181"/>
      <c r="AG621" s="181"/>
      <c r="AH621" s="181"/>
      <c r="AI621" s="181"/>
      <c r="AJ621" s="181"/>
      <c r="AK621" s="181"/>
      <c r="AL621" s="181"/>
      <c r="AM621" s="181"/>
      <c r="AN621" s="181"/>
      <c r="AO621" s="181"/>
      <c r="AP621" s="181"/>
      <c r="AQ621" s="181"/>
      <c r="AR621" s="181"/>
      <c r="AS621" s="181"/>
      <c r="AT621" s="181"/>
      <c r="AU621" s="181"/>
      <c r="AV621" s="181"/>
      <c r="AW621" s="181"/>
    </row>
    <row r="622" spans="1:49" ht="13.5" customHeight="1" x14ac:dyDescent="0.3">
      <c r="A622" s="1"/>
      <c r="B622" s="181"/>
      <c r="C622" s="181"/>
      <c r="D622" s="181"/>
      <c r="E622" s="182"/>
      <c r="F622" s="182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  <c r="AC622" s="181"/>
      <c r="AD622" s="181"/>
      <c r="AE622" s="181"/>
      <c r="AF622" s="181"/>
      <c r="AG622" s="181"/>
      <c r="AH622" s="181"/>
      <c r="AI622" s="181"/>
      <c r="AJ622" s="181"/>
      <c r="AK622" s="181"/>
      <c r="AL622" s="181"/>
      <c r="AM622" s="181"/>
      <c r="AN622" s="181"/>
      <c r="AO622" s="181"/>
      <c r="AP622" s="181"/>
      <c r="AQ622" s="181"/>
      <c r="AR622" s="181"/>
      <c r="AS622" s="181"/>
      <c r="AT622" s="181"/>
      <c r="AU622" s="181"/>
      <c r="AV622" s="181"/>
      <c r="AW622" s="181"/>
    </row>
    <row r="623" spans="1:49" ht="13.5" customHeight="1" x14ac:dyDescent="0.3">
      <c r="A623" s="1"/>
      <c r="B623" s="181"/>
      <c r="C623" s="181"/>
      <c r="D623" s="181"/>
      <c r="E623" s="182"/>
      <c r="F623" s="182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  <c r="AC623" s="181"/>
      <c r="AD623" s="181"/>
      <c r="AE623" s="181"/>
      <c r="AF623" s="181"/>
      <c r="AG623" s="181"/>
      <c r="AH623" s="181"/>
      <c r="AI623" s="181"/>
      <c r="AJ623" s="181"/>
      <c r="AK623" s="181"/>
      <c r="AL623" s="181"/>
      <c r="AM623" s="181"/>
      <c r="AN623" s="181"/>
      <c r="AO623" s="181"/>
      <c r="AP623" s="181"/>
      <c r="AQ623" s="181"/>
      <c r="AR623" s="181"/>
      <c r="AS623" s="181"/>
      <c r="AT623" s="181"/>
      <c r="AU623" s="181"/>
      <c r="AV623" s="181"/>
      <c r="AW623" s="181"/>
    </row>
    <row r="624" spans="1:49" ht="13.5" customHeight="1" x14ac:dyDescent="0.3">
      <c r="A624" s="1"/>
      <c r="B624" s="181"/>
      <c r="C624" s="181"/>
      <c r="D624" s="181"/>
      <c r="E624" s="182"/>
      <c r="F624" s="182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  <c r="AC624" s="181"/>
      <c r="AD624" s="181"/>
      <c r="AE624" s="181"/>
      <c r="AF624" s="181"/>
      <c r="AG624" s="181"/>
      <c r="AH624" s="181"/>
      <c r="AI624" s="181"/>
      <c r="AJ624" s="181"/>
      <c r="AK624" s="181"/>
      <c r="AL624" s="181"/>
      <c r="AM624" s="181"/>
      <c r="AN624" s="181"/>
      <c r="AO624" s="181"/>
      <c r="AP624" s="181"/>
      <c r="AQ624" s="181"/>
      <c r="AR624" s="181"/>
      <c r="AS624" s="181"/>
      <c r="AT624" s="181"/>
      <c r="AU624" s="181"/>
      <c r="AV624" s="181"/>
      <c r="AW624" s="181"/>
    </row>
    <row r="625" spans="1:49" ht="13.5" customHeight="1" x14ac:dyDescent="0.3">
      <c r="A625" s="1"/>
      <c r="B625" s="181"/>
      <c r="C625" s="181"/>
      <c r="D625" s="181"/>
      <c r="E625" s="182"/>
      <c r="F625" s="182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  <c r="AC625" s="181"/>
      <c r="AD625" s="181"/>
      <c r="AE625" s="181"/>
      <c r="AF625" s="181"/>
      <c r="AG625" s="181"/>
      <c r="AH625" s="181"/>
      <c r="AI625" s="181"/>
      <c r="AJ625" s="181"/>
      <c r="AK625" s="181"/>
      <c r="AL625" s="181"/>
      <c r="AM625" s="181"/>
      <c r="AN625" s="181"/>
      <c r="AO625" s="181"/>
      <c r="AP625" s="181"/>
      <c r="AQ625" s="181"/>
      <c r="AR625" s="181"/>
      <c r="AS625" s="181"/>
      <c r="AT625" s="181"/>
      <c r="AU625" s="181"/>
      <c r="AV625" s="181"/>
      <c r="AW625" s="181"/>
    </row>
    <row r="626" spans="1:49" ht="13.5" customHeight="1" x14ac:dyDescent="0.3">
      <c r="A626" s="1"/>
      <c r="B626" s="181"/>
      <c r="C626" s="181"/>
      <c r="D626" s="181"/>
      <c r="E626" s="182"/>
      <c r="F626" s="182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  <c r="AC626" s="181"/>
      <c r="AD626" s="181"/>
      <c r="AE626" s="181"/>
      <c r="AF626" s="181"/>
      <c r="AG626" s="181"/>
      <c r="AH626" s="181"/>
      <c r="AI626" s="181"/>
      <c r="AJ626" s="181"/>
      <c r="AK626" s="181"/>
      <c r="AL626" s="181"/>
      <c r="AM626" s="181"/>
      <c r="AN626" s="181"/>
      <c r="AO626" s="181"/>
      <c r="AP626" s="181"/>
      <c r="AQ626" s="181"/>
      <c r="AR626" s="181"/>
      <c r="AS626" s="181"/>
      <c r="AT626" s="181"/>
      <c r="AU626" s="181"/>
      <c r="AV626" s="181"/>
      <c r="AW626" s="181"/>
    </row>
    <row r="627" spans="1:49" ht="13.5" customHeight="1" x14ac:dyDescent="0.3">
      <c r="A627" s="1"/>
      <c r="B627" s="181"/>
      <c r="C627" s="181"/>
      <c r="D627" s="181"/>
      <c r="E627" s="182"/>
      <c r="F627" s="182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  <c r="AC627" s="181"/>
      <c r="AD627" s="181"/>
      <c r="AE627" s="181"/>
      <c r="AF627" s="181"/>
      <c r="AG627" s="181"/>
      <c r="AH627" s="181"/>
      <c r="AI627" s="181"/>
      <c r="AJ627" s="181"/>
      <c r="AK627" s="181"/>
      <c r="AL627" s="181"/>
      <c r="AM627" s="181"/>
      <c r="AN627" s="181"/>
      <c r="AO627" s="181"/>
      <c r="AP627" s="181"/>
      <c r="AQ627" s="181"/>
      <c r="AR627" s="181"/>
      <c r="AS627" s="181"/>
      <c r="AT627" s="181"/>
      <c r="AU627" s="181"/>
      <c r="AV627" s="181"/>
      <c r="AW627" s="181"/>
    </row>
    <row r="628" spans="1:49" ht="13.5" customHeight="1" x14ac:dyDescent="0.3">
      <c r="A628" s="1"/>
      <c r="B628" s="181"/>
      <c r="C628" s="181"/>
      <c r="D628" s="181"/>
      <c r="E628" s="182"/>
      <c r="F628" s="182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  <c r="AC628" s="181"/>
      <c r="AD628" s="181"/>
      <c r="AE628" s="181"/>
      <c r="AF628" s="181"/>
      <c r="AG628" s="181"/>
      <c r="AH628" s="181"/>
      <c r="AI628" s="181"/>
      <c r="AJ628" s="181"/>
      <c r="AK628" s="181"/>
      <c r="AL628" s="181"/>
      <c r="AM628" s="181"/>
      <c r="AN628" s="181"/>
      <c r="AO628" s="181"/>
      <c r="AP628" s="181"/>
      <c r="AQ628" s="181"/>
      <c r="AR628" s="181"/>
      <c r="AS628" s="181"/>
      <c r="AT628" s="181"/>
      <c r="AU628" s="181"/>
      <c r="AV628" s="181"/>
      <c r="AW628" s="181"/>
    </row>
    <row r="629" spans="1:49" ht="13.5" customHeight="1" x14ac:dyDescent="0.3">
      <c r="A629" s="1"/>
      <c r="B629" s="181"/>
      <c r="C629" s="181"/>
      <c r="D629" s="181"/>
      <c r="E629" s="182"/>
      <c r="F629" s="182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  <c r="AC629" s="181"/>
      <c r="AD629" s="181"/>
      <c r="AE629" s="181"/>
      <c r="AF629" s="181"/>
      <c r="AG629" s="181"/>
      <c r="AH629" s="181"/>
      <c r="AI629" s="181"/>
      <c r="AJ629" s="181"/>
      <c r="AK629" s="181"/>
      <c r="AL629" s="181"/>
      <c r="AM629" s="181"/>
      <c r="AN629" s="181"/>
      <c r="AO629" s="181"/>
      <c r="AP629" s="181"/>
      <c r="AQ629" s="181"/>
      <c r="AR629" s="181"/>
      <c r="AS629" s="181"/>
      <c r="AT629" s="181"/>
      <c r="AU629" s="181"/>
      <c r="AV629" s="181"/>
      <c r="AW629" s="181"/>
    </row>
    <row r="630" spans="1:49" ht="13.5" customHeight="1" x14ac:dyDescent="0.3">
      <c r="A630" s="1"/>
      <c r="B630" s="181"/>
      <c r="C630" s="181"/>
      <c r="D630" s="181"/>
      <c r="E630" s="182"/>
      <c r="F630" s="182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  <c r="AC630" s="181"/>
      <c r="AD630" s="181"/>
      <c r="AE630" s="181"/>
      <c r="AF630" s="181"/>
      <c r="AG630" s="181"/>
      <c r="AH630" s="181"/>
      <c r="AI630" s="181"/>
      <c r="AJ630" s="181"/>
      <c r="AK630" s="181"/>
      <c r="AL630" s="181"/>
      <c r="AM630" s="181"/>
      <c r="AN630" s="181"/>
      <c r="AO630" s="181"/>
      <c r="AP630" s="181"/>
      <c r="AQ630" s="181"/>
      <c r="AR630" s="181"/>
      <c r="AS630" s="181"/>
      <c r="AT630" s="181"/>
      <c r="AU630" s="181"/>
      <c r="AV630" s="181"/>
      <c r="AW630" s="181"/>
    </row>
    <row r="631" spans="1:49" ht="13.5" customHeight="1" x14ac:dyDescent="0.3">
      <c r="A631" s="1"/>
      <c r="B631" s="181"/>
      <c r="C631" s="181"/>
      <c r="D631" s="181"/>
      <c r="E631" s="182"/>
      <c r="F631" s="182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  <c r="AC631" s="181"/>
      <c r="AD631" s="181"/>
      <c r="AE631" s="181"/>
      <c r="AF631" s="181"/>
      <c r="AG631" s="181"/>
      <c r="AH631" s="181"/>
      <c r="AI631" s="181"/>
      <c r="AJ631" s="181"/>
      <c r="AK631" s="181"/>
      <c r="AL631" s="181"/>
      <c r="AM631" s="181"/>
      <c r="AN631" s="181"/>
      <c r="AO631" s="181"/>
      <c r="AP631" s="181"/>
      <c r="AQ631" s="181"/>
      <c r="AR631" s="181"/>
      <c r="AS631" s="181"/>
      <c r="AT631" s="181"/>
      <c r="AU631" s="181"/>
      <c r="AV631" s="181"/>
      <c r="AW631" s="181"/>
    </row>
    <row r="632" spans="1:49" ht="13.5" customHeight="1" x14ac:dyDescent="0.3">
      <c r="A632" s="1"/>
      <c r="B632" s="181"/>
      <c r="C632" s="181"/>
      <c r="D632" s="181"/>
      <c r="E632" s="182"/>
      <c r="F632" s="182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  <c r="AC632" s="181"/>
      <c r="AD632" s="181"/>
      <c r="AE632" s="181"/>
      <c r="AF632" s="181"/>
      <c r="AG632" s="181"/>
      <c r="AH632" s="181"/>
      <c r="AI632" s="181"/>
      <c r="AJ632" s="181"/>
      <c r="AK632" s="181"/>
      <c r="AL632" s="181"/>
      <c r="AM632" s="181"/>
      <c r="AN632" s="181"/>
      <c r="AO632" s="181"/>
      <c r="AP632" s="181"/>
      <c r="AQ632" s="181"/>
      <c r="AR632" s="181"/>
      <c r="AS632" s="181"/>
      <c r="AT632" s="181"/>
      <c r="AU632" s="181"/>
      <c r="AV632" s="181"/>
      <c r="AW632" s="181"/>
    </row>
    <row r="633" spans="1:49" ht="13.5" customHeight="1" x14ac:dyDescent="0.3">
      <c r="A633" s="1"/>
      <c r="B633" s="181"/>
      <c r="C633" s="181"/>
      <c r="D633" s="181"/>
      <c r="E633" s="182"/>
      <c r="F633" s="182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  <c r="AC633" s="181"/>
      <c r="AD633" s="181"/>
      <c r="AE633" s="181"/>
      <c r="AF633" s="181"/>
      <c r="AG633" s="181"/>
      <c r="AH633" s="181"/>
      <c r="AI633" s="181"/>
      <c r="AJ633" s="181"/>
      <c r="AK633" s="181"/>
      <c r="AL633" s="181"/>
      <c r="AM633" s="181"/>
      <c r="AN633" s="181"/>
      <c r="AO633" s="181"/>
      <c r="AP633" s="181"/>
      <c r="AQ633" s="181"/>
      <c r="AR633" s="181"/>
      <c r="AS633" s="181"/>
      <c r="AT633" s="181"/>
      <c r="AU633" s="181"/>
      <c r="AV633" s="181"/>
      <c r="AW633" s="181"/>
    </row>
    <row r="634" spans="1:49" ht="13.5" customHeight="1" x14ac:dyDescent="0.3">
      <c r="A634" s="1"/>
      <c r="B634" s="181"/>
      <c r="C634" s="181"/>
      <c r="D634" s="181"/>
      <c r="E634" s="182"/>
      <c r="F634" s="182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  <c r="AC634" s="181"/>
      <c r="AD634" s="181"/>
      <c r="AE634" s="181"/>
      <c r="AF634" s="181"/>
      <c r="AG634" s="181"/>
      <c r="AH634" s="181"/>
      <c r="AI634" s="181"/>
      <c r="AJ634" s="181"/>
      <c r="AK634" s="181"/>
      <c r="AL634" s="181"/>
      <c r="AM634" s="181"/>
      <c r="AN634" s="181"/>
      <c r="AO634" s="181"/>
      <c r="AP634" s="181"/>
      <c r="AQ634" s="181"/>
      <c r="AR634" s="181"/>
      <c r="AS634" s="181"/>
      <c r="AT634" s="181"/>
      <c r="AU634" s="181"/>
      <c r="AV634" s="181"/>
      <c r="AW634" s="181"/>
    </row>
    <row r="635" spans="1:49" ht="13.5" customHeight="1" x14ac:dyDescent="0.3">
      <c r="A635" s="1"/>
      <c r="B635" s="181"/>
      <c r="C635" s="181"/>
      <c r="D635" s="181"/>
      <c r="E635" s="182"/>
      <c r="F635" s="182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  <c r="AC635" s="181"/>
      <c r="AD635" s="181"/>
      <c r="AE635" s="181"/>
      <c r="AF635" s="181"/>
      <c r="AG635" s="181"/>
      <c r="AH635" s="181"/>
      <c r="AI635" s="181"/>
      <c r="AJ635" s="181"/>
      <c r="AK635" s="181"/>
      <c r="AL635" s="181"/>
      <c r="AM635" s="181"/>
      <c r="AN635" s="181"/>
      <c r="AO635" s="181"/>
      <c r="AP635" s="181"/>
      <c r="AQ635" s="181"/>
      <c r="AR635" s="181"/>
      <c r="AS635" s="181"/>
      <c r="AT635" s="181"/>
      <c r="AU635" s="181"/>
      <c r="AV635" s="181"/>
      <c r="AW635" s="181"/>
    </row>
    <row r="636" spans="1:49" ht="13.5" customHeight="1" x14ac:dyDescent="0.3">
      <c r="A636" s="1"/>
      <c r="B636" s="181"/>
      <c r="C636" s="181"/>
      <c r="D636" s="181"/>
      <c r="E636" s="182"/>
      <c r="F636" s="182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  <c r="AC636" s="181"/>
      <c r="AD636" s="181"/>
      <c r="AE636" s="181"/>
      <c r="AF636" s="181"/>
      <c r="AG636" s="181"/>
      <c r="AH636" s="181"/>
      <c r="AI636" s="181"/>
      <c r="AJ636" s="181"/>
      <c r="AK636" s="181"/>
      <c r="AL636" s="181"/>
      <c r="AM636" s="181"/>
      <c r="AN636" s="181"/>
      <c r="AO636" s="181"/>
      <c r="AP636" s="181"/>
      <c r="AQ636" s="181"/>
      <c r="AR636" s="181"/>
      <c r="AS636" s="181"/>
      <c r="AT636" s="181"/>
      <c r="AU636" s="181"/>
      <c r="AV636" s="181"/>
      <c r="AW636" s="181"/>
    </row>
    <row r="637" spans="1:49" ht="13.5" customHeight="1" x14ac:dyDescent="0.3">
      <c r="A637" s="1"/>
      <c r="B637" s="181"/>
      <c r="C637" s="181"/>
      <c r="D637" s="181"/>
      <c r="E637" s="182"/>
      <c r="F637" s="182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  <c r="AC637" s="181"/>
      <c r="AD637" s="181"/>
      <c r="AE637" s="181"/>
      <c r="AF637" s="181"/>
      <c r="AG637" s="181"/>
      <c r="AH637" s="181"/>
      <c r="AI637" s="181"/>
      <c r="AJ637" s="181"/>
      <c r="AK637" s="181"/>
      <c r="AL637" s="181"/>
      <c r="AM637" s="181"/>
      <c r="AN637" s="181"/>
      <c r="AO637" s="181"/>
      <c r="AP637" s="181"/>
      <c r="AQ637" s="181"/>
      <c r="AR637" s="181"/>
      <c r="AS637" s="181"/>
      <c r="AT637" s="181"/>
      <c r="AU637" s="181"/>
      <c r="AV637" s="181"/>
      <c r="AW637" s="181"/>
    </row>
    <row r="638" spans="1:49" ht="13.5" customHeight="1" x14ac:dyDescent="0.3">
      <c r="A638" s="1"/>
      <c r="B638" s="181"/>
      <c r="C638" s="181"/>
      <c r="D638" s="181"/>
      <c r="E638" s="182"/>
      <c r="F638" s="182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  <c r="AC638" s="181"/>
      <c r="AD638" s="181"/>
      <c r="AE638" s="181"/>
      <c r="AF638" s="181"/>
      <c r="AG638" s="181"/>
      <c r="AH638" s="181"/>
      <c r="AI638" s="181"/>
      <c r="AJ638" s="181"/>
      <c r="AK638" s="181"/>
      <c r="AL638" s="181"/>
      <c r="AM638" s="181"/>
      <c r="AN638" s="181"/>
      <c r="AO638" s="181"/>
      <c r="AP638" s="181"/>
      <c r="AQ638" s="181"/>
      <c r="AR638" s="181"/>
      <c r="AS638" s="181"/>
      <c r="AT638" s="181"/>
      <c r="AU638" s="181"/>
      <c r="AV638" s="181"/>
      <c r="AW638" s="181"/>
    </row>
    <row r="639" spans="1:49" ht="13.5" customHeight="1" x14ac:dyDescent="0.3">
      <c r="A639" s="1"/>
      <c r="B639" s="181"/>
      <c r="C639" s="181"/>
      <c r="D639" s="181"/>
      <c r="E639" s="182"/>
      <c r="F639" s="182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  <c r="AC639" s="181"/>
      <c r="AD639" s="181"/>
      <c r="AE639" s="181"/>
      <c r="AF639" s="181"/>
      <c r="AG639" s="181"/>
      <c r="AH639" s="181"/>
      <c r="AI639" s="181"/>
      <c r="AJ639" s="181"/>
      <c r="AK639" s="181"/>
      <c r="AL639" s="181"/>
      <c r="AM639" s="181"/>
      <c r="AN639" s="181"/>
      <c r="AO639" s="181"/>
      <c r="AP639" s="181"/>
      <c r="AQ639" s="181"/>
      <c r="AR639" s="181"/>
      <c r="AS639" s="181"/>
      <c r="AT639" s="181"/>
      <c r="AU639" s="181"/>
      <c r="AV639" s="181"/>
      <c r="AW639" s="181"/>
    </row>
    <row r="640" spans="1:49" ht="13.5" customHeight="1" x14ac:dyDescent="0.3">
      <c r="A640" s="1"/>
      <c r="B640" s="181"/>
      <c r="C640" s="181"/>
      <c r="D640" s="181"/>
      <c r="E640" s="182"/>
      <c r="F640" s="182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  <c r="AC640" s="181"/>
      <c r="AD640" s="181"/>
      <c r="AE640" s="181"/>
      <c r="AF640" s="181"/>
      <c r="AG640" s="181"/>
      <c r="AH640" s="181"/>
      <c r="AI640" s="181"/>
      <c r="AJ640" s="181"/>
      <c r="AK640" s="181"/>
      <c r="AL640" s="181"/>
      <c r="AM640" s="181"/>
      <c r="AN640" s="181"/>
      <c r="AO640" s="181"/>
      <c r="AP640" s="181"/>
      <c r="AQ640" s="181"/>
      <c r="AR640" s="181"/>
      <c r="AS640" s="181"/>
      <c r="AT640" s="181"/>
      <c r="AU640" s="181"/>
      <c r="AV640" s="181"/>
      <c r="AW640" s="181"/>
    </row>
    <row r="641" spans="1:49" ht="13.5" customHeight="1" x14ac:dyDescent="0.3">
      <c r="A641" s="1"/>
      <c r="B641" s="181"/>
      <c r="C641" s="181"/>
      <c r="D641" s="181"/>
      <c r="E641" s="182"/>
      <c r="F641" s="182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  <c r="AC641" s="181"/>
      <c r="AD641" s="181"/>
      <c r="AE641" s="181"/>
      <c r="AF641" s="181"/>
      <c r="AG641" s="181"/>
      <c r="AH641" s="181"/>
      <c r="AI641" s="181"/>
      <c r="AJ641" s="181"/>
      <c r="AK641" s="181"/>
      <c r="AL641" s="181"/>
      <c r="AM641" s="181"/>
      <c r="AN641" s="181"/>
      <c r="AO641" s="181"/>
      <c r="AP641" s="181"/>
      <c r="AQ641" s="181"/>
      <c r="AR641" s="181"/>
      <c r="AS641" s="181"/>
      <c r="AT641" s="181"/>
      <c r="AU641" s="181"/>
      <c r="AV641" s="181"/>
      <c r="AW641" s="181"/>
    </row>
    <row r="642" spans="1:49" ht="13.5" customHeight="1" x14ac:dyDescent="0.3">
      <c r="A642" s="1"/>
      <c r="B642" s="181"/>
      <c r="C642" s="181"/>
      <c r="D642" s="181"/>
      <c r="E642" s="182"/>
      <c r="F642" s="182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  <c r="AC642" s="181"/>
      <c r="AD642" s="181"/>
      <c r="AE642" s="181"/>
      <c r="AF642" s="181"/>
      <c r="AG642" s="181"/>
      <c r="AH642" s="181"/>
      <c r="AI642" s="181"/>
      <c r="AJ642" s="181"/>
      <c r="AK642" s="181"/>
      <c r="AL642" s="181"/>
      <c r="AM642" s="181"/>
      <c r="AN642" s="181"/>
      <c r="AO642" s="181"/>
      <c r="AP642" s="181"/>
      <c r="AQ642" s="181"/>
      <c r="AR642" s="181"/>
      <c r="AS642" s="181"/>
      <c r="AT642" s="181"/>
      <c r="AU642" s="181"/>
      <c r="AV642" s="181"/>
      <c r="AW642" s="181"/>
    </row>
    <row r="643" spans="1:49" ht="13.5" customHeight="1" x14ac:dyDescent="0.3">
      <c r="A643" s="1"/>
      <c r="B643" s="181"/>
      <c r="C643" s="181"/>
      <c r="D643" s="181"/>
      <c r="E643" s="182"/>
      <c r="F643" s="182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  <c r="AC643" s="181"/>
      <c r="AD643" s="181"/>
      <c r="AE643" s="181"/>
      <c r="AF643" s="181"/>
      <c r="AG643" s="181"/>
      <c r="AH643" s="181"/>
      <c r="AI643" s="181"/>
      <c r="AJ643" s="181"/>
      <c r="AK643" s="181"/>
      <c r="AL643" s="181"/>
      <c r="AM643" s="181"/>
      <c r="AN643" s="181"/>
      <c r="AO643" s="181"/>
      <c r="AP643" s="181"/>
      <c r="AQ643" s="181"/>
      <c r="AR643" s="181"/>
      <c r="AS643" s="181"/>
      <c r="AT643" s="181"/>
      <c r="AU643" s="181"/>
      <c r="AV643" s="181"/>
      <c r="AW643" s="181"/>
    </row>
    <row r="644" spans="1:49" ht="13.5" customHeight="1" x14ac:dyDescent="0.3">
      <c r="A644" s="1"/>
      <c r="B644" s="181"/>
      <c r="C644" s="181"/>
      <c r="D644" s="181"/>
      <c r="E644" s="182"/>
      <c r="F644" s="182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  <c r="AC644" s="181"/>
      <c r="AD644" s="181"/>
      <c r="AE644" s="181"/>
      <c r="AF644" s="181"/>
      <c r="AG644" s="181"/>
      <c r="AH644" s="181"/>
      <c r="AI644" s="181"/>
      <c r="AJ644" s="181"/>
      <c r="AK644" s="181"/>
      <c r="AL644" s="181"/>
      <c r="AM644" s="181"/>
      <c r="AN644" s="181"/>
      <c r="AO644" s="181"/>
      <c r="AP644" s="181"/>
      <c r="AQ644" s="181"/>
      <c r="AR644" s="181"/>
      <c r="AS644" s="181"/>
      <c r="AT644" s="181"/>
      <c r="AU644" s="181"/>
      <c r="AV644" s="181"/>
      <c r="AW644" s="181"/>
    </row>
    <row r="645" spans="1:49" ht="13.5" customHeight="1" x14ac:dyDescent="0.3">
      <c r="A645" s="1"/>
      <c r="B645" s="181"/>
      <c r="C645" s="181"/>
      <c r="D645" s="181"/>
      <c r="E645" s="182"/>
      <c r="F645" s="182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  <c r="AC645" s="181"/>
      <c r="AD645" s="181"/>
      <c r="AE645" s="181"/>
      <c r="AF645" s="181"/>
      <c r="AG645" s="181"/>
      <c r="AH645" s="181"/>
      <c r="AI645" s="181"/>
      <c r="AJ645" s="181"/>
      <c r="AK645" s="181"/>
      <c r="AL645" s="181"/>
      <c r="AM645" s="181"/>
      <c r="AN645" s="181"/>
      <c r="AO645" s="181"/>
      <c r="AP645" s="181"/>
      <c r="AQ645" s="181"/>
      <c r="AR645" s="181"/>
      <c r="AS645" s="181"/>
      <c r="AT645" s="181"/>
      <c r="AU645" s="181"/>
      <c r="AV645" s="181"/>
      <c r="AW645" s="181"/>
    </row>
    <row r="646" spans="1:49" ht="13.5" customHeight="1" x14ac:dyDescent="0.3">
      <c r="A646" s="1"/>
      <c r="B646" s="181"/>
      <c r="C646" s="181"/>
      <c r="D646" s="181"/>
      <c r="E646" s="182"/>
      <c r="F646" s="182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  <c r="AC646" s="181"/>
      <c r="AD646" s="181"/>
      <c r="AE646" s="181"/>
      <c r="AF646" s="181"/>
      <c r="AG646" s="181"/>
      <c r="AH646" s="181"/>
      <c r="AI646" s="181"/>
      <c r="AJ646" s="181"/>
      <c r="AK646" s="181"/>
      <c r="AL646" s="181"/>
      <c r="AM646" s="181"/>
      <c r="AN646" s="181"/>
      <c r="AO646" s="181"/>
      <c r="AP646" s="181"/>
      <c r="AQ646" s="181"/>
      <c r="AR646" s="181"/>
      <c r="AS646" s="181"/>
      <c r="AT646" s="181"/>
      <c r="AU646" s="181"/>
      <c r="AV646" s="181"/>
      <c r="AW646" s="181"/>
    </row>
    <row r="647" spans="1:49" ht="13.5" customHeight="1" x14ac:dyDescent="0.3">
      <c r="A647" s="1"/>
      <c r="B647" s="181"/>
      <c r="C647" s="181"/>
      <c r="D647" s="181"/>
      <c r="E647" s="182"/>
      <c r="F647" s="182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  <c r="AC647" s="181"/>
      <c r="AD647" s="181"/>
      <c r="AE647" s="181"/>
      <c r="AF647" s="181"/>
      <c r="AG647" s="181"/>
      <c r="AH647" s="181"/>
      <c r="AI647" s="181"/>
      <c r="AJ647" s="181"/>
      <c r="AK647" s="181"/>
      <c r="AL647" s="181"/>
      <c r="AM647" s="181"/>
      <c r="AN647" s="181"/>
      <c r="AO647" s="181"/>
      <c r="AP647" s="181"/>
      <c r="AQ647" s="181"/>
      <c r="AR647" s="181"/>
      <c r="AS647" s="181"/>
      <c r="AT647" s="181"/>
      <c r="AU647" s="181"/>
      <c r="AV647" s="181"/>
      <c r="AW647" s="181"/>
    </row>
    <row r="648" spans="1:49" ht="13.5" customHeight="1" x14ac:dyDescent="0.3">
      <c r="A648" s="1"/>
      <c r="B648" s="181"/>
      <c r="C648" s="181"/>
      <c r="D648" s="181"/>
      <c r="E648" s="182"/>
      <c r="F648" s="182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  <c r="AC648" s="181"/>
      <c r="AD648" s="181"/>
      <c r="AE648" s="181"/>
      <c r="AF648" s="181"/>
      <c r="AG648" s="181"/>
      <c r="AH648" s="181"/>
      <c r="AI648" s="181"/>
      <c r="AJ648" s="181"/>
      <c r="AK648" s="181"/>
      <c r="AL648" s="181"/>
      <c r="AM648" s="181"/>
      <c r="AN648" s="181"/>
      <c r="AO648" s="181"/>
      <c r="AP648" s="181"/>
      <c r="AQ648" s="181"/>
      <c r="AR648" s="181"/>
      <c r="AS648" s="181"/>
      <c r="AT648" s="181"/>
      <c r="AU648" s="181"/>
      <c r="AV648" s="181"/>
      <c r="AW648" s="181"/>
    </row>
    <row r="649" spans="1:49" ht="13.5" customHeight="1" x14ac:dyDescent="0.3">
      <c r="A649" s="1"/>
      <c r="B649" s="181"/>
      <c r="C649" s="181"/>
      <c r="D649" s="181"/>
      <c r="E649" s="182"/>
      <c r="F649" s="182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  <c r="AC649" s="181"/>
      <c r="AD649" s="181"/>
      <c r="AE649" s="181"/>
      <c r="AF649" s="181"/>
      <c r="AG649" s="181"/>
      <c r="AH649" s="181"/>
      <c r="AI649" s="181"/>
      <c r="AJ649" s="181"/>
      <c r="AK649" s="181"/>
      <c r="AL649" s="181"/>
      <c r="AM649" s="181"/>
      <c r="AN649" s="181"/>
      <c r="AO649" s="181"/>
      <c r="AP649" s="181"/>
      <c r="AQ649" s="181"/>
      <c r="AR649" s="181"/>
      <c r="AS649" s="181"/>
      <c r="AT649" s="181"/>
      <c r="AU649" s="181"/>
      <c r="AV649" s="181"/>
      <c r="AW649" s="181"/>
    </row>
    <row r="650" spans="1:49" ht="13.5" customHeight="1" x14ac:dyDescent="0.3">
      <c r="A650" s="1"/>
      <c r="B650" s="181"/>
      <c r="C650" s="181"/>
      <c r="D650" s="181"/>
      <c r="E650" s="182"/>
      <c r="F650" s="182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  <c r="AC650" s="181"/>
      <c r="AD650" s="181"/>
      <c r="AE650" s="181"/>
      <c r="AF650" s="181"/>
      <c r="AG650" s="181"/>
      <c r="AH650" s="181"/>
      <c r="AI650" s="181"/>
      <c r="AJ650" s="181"/>
      <c r="AK650" s="181"/>
      <c r="AL650" s="181"/>
      <c r="AM650" s="181"/>
      <c r="AN650" s="181"/>
      <c r="AO650" s="181"/>
      <c r="AP650" s="181"/>
      <c r="AQ650" s="181"/>
      <c r="AR650" s="181"/>
      <c r="AS650" s="181"/>
      <c r="AT650" s="181"/>
      <c r="AU650" s="181"/>
      <c r="AV650" s="181"/>
      <c r="AW650" s="181"/>
    </row>
    <row r="651" spans="1:49" ht="13.5" customHeight="1" x14ac:dyDescent="0.3">
      <c r="A651" s="1"/>
      <c r="B651" s="181"/>
      <c r="C651" s="181"/>
      <c r="D651" s="181"/>
      <c r="E651" s="182"/>
      <c r="F651" s="182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  <c r="AC651" s="181"/>
      <c r="AD651" s="181"/>
      <c r="AE651" s="181"/>
      <c r="AF651" s="181"/>
      <c r="AG651" s="181"/>
      <c r="AH651" s="181"/>
      <c r="AI651" s="181"/>
      <c r="AJ651" s="181"/>
      <c r="AK651" s="181"/>
      <c r="AL651" s="181"/>
      <c r="AM651" s="181"/>
      <c r="AN651" s="181"/>
      <c r="AO651" s="181"/>
      <c r="AP651" s="181"/>
      <c r="AQ651" s="181"/>
      <c r="AR651" s="181"/>
      <c r="AS651" s="181"/>
      <c r="AT651" s="181"/>
      <c r="AU651" s="181"/>
      <c r="AV651" s="181"/>
      <c r="AW651" s="181"/>
    </row>
    <row r="652" spans="1:49" ht="13.5" customHeight="1" x14ac:dyDescent="0.3">
      <c r="A652" s="1"/>
      <c r="B652" s="181"/>
      <c r="C652" s="181"/>
      <c r="D652" s="181"/>
      <c r="E652" s="182"/>
      <c r="F652" s="182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  <c r="AC652" s="181"/>
      <c r="AD652" s="181"/>
      <c r="AE652" s="181"/>
      <c r="AF652" s="181"/>
      <c r="AG652" s="181"/>
      <c r="AH652" s="181"/>
      <c r="AI652" s="181"/>
      <c r="AJ652" s="181"/>
      <c r="AK652" s="181"/>
      <c r="AL652" s="181"/>
      <c r="AM652" s="181"/>
      <c r="AN652" s="181"/>
      <c r="AO652" s="181"/>
      <c r="AP652" s="181"/>
      <c r="AQ652" s="181"/>
      <c r="AR652" s="181"/>
      <c r="AS652" s="181"/>
      <c r="AT652" s="181"/>
      <c r="AU652" s="181"/>
      <c r="AV652" s="181"/>
      <c r="AW652" s="181"/>
    </row>
    <row r="653" spans="1:49" ht="13.5" customHeight="1" x14ac:dyDescent="0.3">
      <c r="A653" s="1"/>
      <c r="B653" s="181"/>
      <c r="C653" s="181"/>
      <c r="D653" s="181"/>
      <c r="E653" s="182"/>
      <c r="F653" s="182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  <c r="AC653" s="181"/>
      <c r="AD653" s="181"/>
      <c r="AE653" s="181"/>
      <c r="AF653" s="181"/>
      <c r="AG653" s="181"/>
      <c r="AH653" s="181"/>
      <c r="AI653" s="181"/>
      <c r="AJ653" s="181"/>
      <c r="AK653" s="181"/>
      <c r="AL653" s="181"/>
      <c r="AM653" s="181"/>
      <c r="AN653" s="181"/>
      <c r="AO653" s="181"/>
      <c r="AP653" s="181"/>
      <c r="AQ653" s="181"/>
      <c r="AR653" s="181"/>
      <c r="AS653" s="181"/>
      <c r="AT653" s="181"/>
      <c r="AU653" s="181"/>
      <c r="AV653" s="181"/>
      <c r="AW653" s="181"/>
    </row>
    <row r="654" spans="1:49" ht="13.5" customHeight="1" x14ac:dyDescent="0.3">
      <c r="A654" s="1"/>
      <c r="B654" s="181"/>
      <c r="C654" s="181"/>
      <c r="D654" s="181"/>
      <c r="E654" s="182"/>
      <c r="F654" s="182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  <c r="AC654" s="181"/>
      <c r="AD654" s="181"/>
      <c r="AE654" s="181"/>
      <c r="AF654" s="181"/>
      <c r="AG654" s="181"/>
      <c r="AH654" s="181"/>
      <c r="AI654" s="181"/>
      <c r="AJ654" s="181"/>
      <c r="AK654" s="181"/>
      <c r="AL654" s="181"/>
      <c r="AM654" s="181"/>
      <c r="AN654" s="181"/>
      <c r="AO654" s="181"/>
      <c r="AP654" s="181"/>
      <c r="AQ654" s="181"/>
      <c r="AR654" s="181"/>
      <c r="AS654" s="181"/>
      <c r="AT654" s="181"/>
      <c r="AU654" s="181"/>
      <c r="AV654" s="181"/>
      <c r="AW654" s="181"/>
    </row>
    <row r="655" spans="1:49" ht="13.5" customHeight="1" x14ac:dyDescent="0.3">
      <c r="A655" s="1"/>
      <c r="B655" s="181"/>
      <c r="C655" s="181"/>
      <c r="D655" s="181"/>
      <c r="E655" s="182"/>
      <c r="F655" s="182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  <c r="AC655" s="181"/>
      <c r="AD655" s="181"/>
      <c r="AE655" s="181"/>
      <c r="AF655" s="181"/>
      <c r="AG655" s="181"/>
      <c r="AH655" s="181"/>
      <c r="AI655" s="181"/>
      <c r="AJ655" s="181"/>
      <c r="AK655" s="181"/>
      <c r="AL655" s="181"/>
      <c r="AM655" s="181"/>
      <c r="AN655" s="181"/>
      <c r="AO655" s="181"/>
      <c r="AP655" s="181"/>
      <c r="AQ655" s="181"/>
      <c r="AR655" s="181"/>
      <c r="AS655" s="181"/>
      <c r="AT655" s="181"/>
      <c r="AU655" s="181"/>
      <c r="AV655" s="181"/>
      <c r="AW655" s="181"/>
    </row>
    <row r="656" spans="1:49" ht="13.5" customHeight="1" x14ac:dyDescent="0.3">
      <c r="A656" s="1"/>
      <c r="B656" s="181"/>
      <c r="C656" s="181"/>
      <c r="D656" s="181"/>
      <c r="E656" s="182"/>
      <c r="F656" s="182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  <c r="AC656" s="181"/>
      <c r="AD656" s="181"/>
      <c r="AE656" s="181"/>
      <c r="AF656" s="181"/>
      <c r="AG656" s="181"/>
      <c r="AH656" s="181"/>
      <c r="AI656" s="181"/>
      <c r="AJ656" s="181"/>
      <c r="AK656" s="181"/>
      <c r="AL656" s="181"/>
      <c r="AM656" s="181"/>
      <c r="AN656" s="181"/>
      <c r="AO656" s="181"/>
      <c r="AP656" s="181"/>
      <c r="AQ656" s="181"/>
      <c r="AR656" s="181"/>
      <c r="AS656" s="181"/>
      <c r="AT656" s="181"/>
      <c r="AU656" s="181"/>
      <c r="AV656" s="181"/>
      <c r="AW656" s="181"/>
    </row>
    <row r="657" spans="1:49" ht="13.5" customHeight="1" x14ac:dyDescent="0.3">
      <c r="A657" s="1"/>
      <c r="B657" s="181"/>
      <c r="C657" s="181"/>
      <c r="D657" s="181"/>
      <c r="E657" s="182"/>
      <c r="F657" s="182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  <c r="AC657" s="181"/>
      <c r="AD657" s="181"/>
      <c r="AE657" s="181"/>
      <c r="AF657" s="181"/>
      <c r="AG657" s="181"/>
      <c r="AH657" s="181"/>
      <c r="AI657" s="181"/>
      <c r="AJ657" s="181"/>
      <c r="AK657" s="181"/>
      <c r="AL657" s="181"/>
      <c r="AM657" s="181"/>
      <c r="AN657" s="181"/>
      <c r="AO657" s="181"/>
      <c r="AP657" s="181"/>
      <c r="AQ657" s="181"/>
      <c r="AR657" s="181"/>
      <c r="AS657" s="181"/>
      <c r="AT657" s="181"/>
      <c r="AU657" s="181"/>
      <c r="AV657" s="181"/>
      <c r="AW657" s="181"/>
    </row>
    <row r="658" spans="1:49" ht="13.5" customHeight="1" x14ac:dyDescent="0.3">
      <c r="A658" s="1"/>
      <c r="B658" s="181"/>
      <c r="C658" s="181"/>
      <c r="D658" s="181"/>
      <c r="E658" s="182"/>
      <c r="F658" s="182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  <c r="AC658" s="181"/>
      <c r="AD658" s="181"/>
      <c r="AE658" s="181"/>
      <c r="AF658" s="181"/>
      <c r="AG658" s="181"/>
      <c r="AH658" s="181"/>
      <c r="AI658" s="181"/>
      <c r="AJ658" s="181"/>
      <c r="AK658" s="181"/>
      <c r="AL658" s="181"/>
      <c r="AM658" s="181"/>
      <c r="AN658" s="181"/>
      <c r="AO658" s="181"/>
      <c r="AP658" s="181"/>
      <c r="AQ658" s="181"/>
      <c r="AR658" s="181"/>
      <c r="AS658" s="181"/>
      <c r="AT658" s="181"/>
      <c r="AU658" s="181"/>
      <c r="AV658" s="181"/>
      <c r="AW658" s="181"/>
    </row>
    <row r="659" spans="1:49" ht="13.5" customHeight="1" x14ac:dyDescent="0.3">
      <c r="A659" s="1"/>
      <c r="B659" s="181"/>
      <c r="C659" s="181"/>
      <c r="D659" s="181"/>
      <c r="E659" s="182"/>
      <c r="F659" s="182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  <c r="AC659" s="181"/>
      <c r="AD659" s="181"/>
      <c r="AE659" s="181"/>
      <c r="AF659" s="181"/>
      <c r="AG659" s="181"/>
      <c r="AH659" s="181"/>
      <c r="AI659" s="181"/>
      <c r="AJ659" s="181"/>
      <c r="AK659" s="181"/>
      <c r="AL659" s="181"/>
      <c r="AM659" s="181"/>
      <c r="AN659" s="181"/>
      <c r="AO659" s="181"/>
      <c r="AP659" s="181"/>
      <c r="AQ659" s="181"/>
      <c r="AR659" s="181"/>
      <c r="AS659" s="181"/>
      <c r="AT659" s="181"/>
      <c r="AU659" s="181"/>
      <c r="AV659" s="181"/>
      <c r="AW659" s="181"/>
    </row>
    <row r="660" spans="1:49" ht="13.5" customHeight="1" x14ac:dyDescent="0.3">
      <c r="A660" s="1"/>
      <c r="B660" s="181"/>
      <c r="C660" s="181"/>
      <c r="D660" s="181"/>
      <c r="E660" s="182"/>
      <c r="F660" s="182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  <c r="AC660" s="181"/>
      <c r="AD660" s="181"/>
      <c r="AE660" s="181"/>
      <c r="AF660" s="181"/>
      <c r="AG660" s="181"/>
      <c r="AH660" s="181"/>
      <c r="AI660" s="181"/>
      <c r="AJ660" s="181"/>
      <c r="AK660" s="181"/>
      <c r="AL660" s="181"/>
      <c r="AM660" s="181"/>
      <c r="AN660" s="181"/>
      <c r="AO660" s="181"/>
      <c r="AP660" s="181"/>
      <c r="AQ660" s="181"/>
      <c r="AR660" s="181"/>
      <c r="AS660" s="181"/>
      <c r="AT660" s="181"/>
      <c r="AU660" s="181"/>
      <c r="AV660" s="181"/>
      <c r="AW660" s="181"/>
    </row>
    <row r="661" spans="1:49" ht="13.5" customHeight="1" x14ac:dyDescent="0.3">
      <c r="A661" s="1"/>
      <c r="B661" s="181"/>
      <c r="C661" s="181"/>
      <c r="D661" s="181"/>
      <c r="E661" s="182"/>
      <c r="F661" s="182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  <c r="AC661" s="181"/>
      <c r="AD661" s="181"/>
      <c r="AE661" s="181"/>
      <c r="AF661" s="181"/>
      <c r="AG661" s="181"/>
      <c r="AH661" s="181"/>
      <c r="AI661" s="181"/>
      <c r="AJ661" s="181"/>
      <c r="AK661" s="181"/>
      <c r="AL661" s="181"/>
      <c r="AM661" s="181"/>
      <c r="AN661" s="181"/>
      <c r="AO661" s="181"/>
      <c r="AP661" s="181"/>
      <c r="AQ661" s="181"/>
      <c r="AR661" s="181"/>
      <c r="AS661" s="181"/>
      <c r="AT661" s="181"/>
      <c r="AU661" s="181"/>
      <c r="AV661" s="181"/>
      <c r="AW661" s="181"/>
    </row>
    <row r="662" spans="1:49" ht="13.5" customHeight="1" x14ac:dyDescent="0.3">
      <c r="A662" s="1"/>
      <c r="B662" s="181"/>
      <c r="C662" s="181"/>
      <c r="D662" s="181"/>
      <c r="E662" s="182"/>
      <c r="F662" s="182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  <c r="AC662" s="181"/>
      <c r="AD662" s="181"/>
      <c r="AE662" s="181"/>
      <c r="AF662" s="181"/>
      <c r="AG662" s="181"/>
      <c r="AH662" s="181"/>
      <c r="AI662" s="181"/>
      <c r="AJ662" s="181"/>
      <c r="AK662" s="181"/>
      <c r="AL662" s="181"/>
      <c r="AM662" s="181"/>
      <c r="AN662" s="181"/>
      <c r="AO662" s="181"/>
      <c r="AP662" s="181"/>
      <c r="AQ662" s="181"/>
      <c r="AR662" s="181"/>
      <c r="AS662" s="181"/>
      <c r="AT662" s="181"/>
      <c r="AU662" s="181"/>
      <c r="AV662" s="181"/>
      <c r="AW662" s="181"/>
    </row>
    <row r="663" spans="1:49" ht="13.5" customHeight="1" x14ac:dyDescent="0.3">
      <c r="A663" s="1"/>
      <c r="B663" s="181"/>
      <c r="C663" s="181"/>
      <c r="D663" s="181"/>
      <c r="E663" s="182"/>
      <c r="F663" s="182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  <c r="AC663" s="181"/>
      <c r="AD663" s="181"/>
      <c r="AE663" s="181"/>
      <c r="AF663" s="181"/>
      <c r="AG663" s="181"/>
      <c r="AH663" s="181"/>
      <c r="AI663" s="181"/>
      <c r="AJ663" s="181"/>
      <c r="AK663" s="181"/>
      <c r="AL663" s="181"/>
      <c r="AM663" s="181"/>
      <c r="AN663" s="181"/>
      <c r="AO663" s="181"/>
      <c r="AP663" s="181"/>
      <c r="AQ663" s="181"/>
      <c r="AR663" s="181"/>
      <c r="AS663" s="181"/>
      <c r="AT663" s="181"/>
      <c r="AU663" s="181"/>
      <c r="AV663" s="181"/>
      <c r="AW663" s="181"/>
    </row>
    <row r="664" spans="1:49" ht="13.5" customHeight="1" x14ac:dyDescent="0.3">
      <c r="A664" s="1"/>
      <c r="B664" s="181"/>
      <c r="C664" s="181"/>
      <c r="D664" s="181"/>
      <c r="E664" s="182"/>
      <c r="F664" s="182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  <c r="AC664" s="181"/>
      <c r="AD664" s="181"/>
      <c r="AE664" s="181"/>
      <c r="AF664" s="181"/>
      <c r="AG664" s="181"/>
      <c r="AH664" s="181"/>
      <c r="AI664" s="181"/>
      <c r="AJ664" s="181"/>
      <c r="AK664" s="181"/>
      <c r="AL664" s="181"/>
      <c r="AM664" s="181"/>
      <c r="AN664" s="181"/>
      <c r="AO664" s="181"/>
      <c r="AP664" s="181"/>
      <c r="AQ664" s="181"/>
      <c r="AR664" s="181"/>
      <c r="AS664" s="181"/>
      <c r="AT664" s="181"/>
      <c r="AU664" s="181"/>
      <c r="AV664" s="181"/>
      <c r="AW664" s="181"/>
    </row>
    <row r="665" spans="1:49" ht="13.5" customHeight="1" x14ac:dyDescent="0.3">
      <c r="A665" s="1"/>
      <c r="B665" s="181"/>
      <c r="C665" s="181"/>
      <c r="D665" s="181"/>
      <c r="E665" s="182"/>
      <c r="F665" s="182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  <c r="AC665" s="181"/>
      <c r="AD665" s="181"/>
      <c r="AE665" s="181"/>
      <c r="AF665" s="181"/>
      <c r="AG665" s="181"/>
      <c r="AH665" s="181"/>
      <c r="AI665" s="181"/>
      <c r="AJ665" s="181"/>
      <c r="AK665" s="181"/>
      <c r="AL665" s="181"/>
      <c r="AM665" s="181"/>
      <c r="AN665" s="181"/>
      <c r="AO665" s="181"/>
      <c r="AP665" s="181"/>
      <c r="AQ665" s="181"/>
      <c r="AR665" s="181"/>
      <c r="AS665" s="181"/>
      <c r="AT665" s="181"/>
      <c r="AU665" s="181"/>
      <c r="AV665" s="181"/>
      <c r="AW665" s="181"/>
    </row>
    <row r="666" spans="1:49" ht="13.5" customHeight="1" x14ac:dyDescent="0.3">
      <c r="A666" s="1"/>
      <c r="B666" s="181"/>
      <c r="C666" s="181"/>
      <c r="D666" s="181"/>
      <c r="E666" s="182"/>
      <c r="F666" s="182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  <c r="AC666" s="181"/>
      <c r="AD666" s="181"/>
      <c r="AE666" s="181"/>
      <c r="AF666" s="181"/>
      <c r="AG666" s="181"/>
      <c r="AH666" s="181"/>
      <c r="AI666" s="181"/>
      <c r="AJ666" s="181"/>
      <c r="AK666" s="181"/>
      <c r="AL666" s="181"/>
      <c r="AM666" s="181"/>
      <c r="AN666" s="181"/>
      <c r="AO666" s="181"/>
      <c r="AP666" s="181"/>
      <c r="AQ666" s="181"/>
      <c r="AR666" s="181"/>
      <c r="AS666" s="181"/>
      <c r="AT666" s="181"/>
      <c r="AU666" s="181"/>
      <c r="AV666" s="181"/>
      <c r="AW666" s="181"/>
    </row>
    <row r="667" spans="1:49" ht="13.5" customHeight="1" x14ac:dyDescent="0.3">
      <c r="A667" s="1"/>
      <c r="B667" s="181"/>
      <c r="C667" s="181"/>
      <c r="D667" s="181"/>
      <c r="E667" s="182"/>
      <c r="F667" s="182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  <c r="AC667" s="181"/>
      <c r="AD667" s="181"/>
      <c r="AE667" s="181"/>
      <c r="AF667" s="181"/>
      <c r="AG667" s="181"/>
      <c r="AH667" s="181"/>
      <c r="AI667" s="181"/>
      <c r="AJ667" s="181"/>
      <c r="AK667" s="181"/>
      <c r="AL667" s="181"/>
      <c r="AM667" s="181"/>
      <c r="AN667" s="181"/>
      <c r="AO667" s="181"/>
      <c r="AP667" s="181"/>
      <c r="AQ667" s="181"/>
      <c r="AR667" s="181"/>
      <c r="AS667" s="181"/>
      <c r="AT667" s="181"/>
      <c r="AU667" s="181"/>
      <c r="AV667" s="181"/>
      <c r="AW667" s="181"/>
    </row>
    <row r="668" spans="1:49" ht="13.5" customHeight="1" x14ac:dyDescent="0.3">
      <c r="A668" s="1"/>
      <c r="B668" s="181"/>
      <c r="C668" s="181"/>
      <c r="D668" s="181"/>
      <c r="E668" s="182"/>
      <c r="F668" s="182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  <c r="AC668" s="181"/>
      <c r="AD668" s="181"/>
      <c r="AE668" s="181"/>
      <c r="AF668" s="181"/>
      <c r="AG668" s="181"/>
      <c r="AH668" s="181"/>
      <c r="AI668" s="181"/>
      <c r="AJ668" s="181"/>
      <c r="AK668" s="181"/>
      <c r="AL668" s="181"/>
      <c r="AM668" s="181"/>
      <c r="AN668" s="181"/>
      <c r="AO668" s="181"/>
      <c r="AP668" s="181"/>
      <c r="AQ668" s="181"/>
      <c r="AR668" s="181"/>
      <c r="AS668" s="181"/>
      <c r="AT668" s="181"/>
      <c r="AU668" s="181"/>
      <c r="AV668" s="181"/>
      <c r="AW668" s="181"/>
    </row>
    <row r="669" spans="1:49" ht="13.5" customHeight="1" x14ac:dyDescent="0.3">
      <c r="A669" s="1"/>
      <c r="B669" s="181"/>
      <c r="C669" s="181"/>
      <c r="D669" s="181"/>
      <c r="E669" s="182"/>
      <c r="F669" s="182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  <c r="AC669" s="181"/>
      <c r="AD669" s="181"/>
      <c r="AE669" s="181"/>
      <c r="AF669" s="181"/>
      <c r="AG669" s="181"/>
      <c r="AH669" s="181"/>
      <c r="AI669" s="181"/>
      <c r="AJ669" s="181"/>
      <c r="AK669" s="181"/>
      <c r="AL669" s="181"/>
      <c r="AM669" s="181"/>
      <c r="AN669" s="181"/>
      <c r="AO669" s="181"/>
      <c r="AP669" s="181"/>
      <c r="AQ669" s="181"/>
      <c r="AR669" s="181"/>
      <c r="AS669" s="181"/>
      <c r="AT669" s="181"/>
      <c r="AU669" s="181"/>
      <c r="AV669" s="181"/>
      <c r="AW669" s="181"/>
    </row>
    <row r="670" spans="1:49" ht="13.5" customHeight="1" x14ac:dyDescent="0.3">
      <c r="A670" s="1"/>
      <c r="B670" s="181"/>
      <c r="C670" s="181"/>
      <c r="D670" s="181"/>
      <c r="E670" s="182"/>
      <c r="F670" s="182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  <c r="AC670" s="181"/>
      <c r="AD670" s="181"/>
      <c r="AE670" s="181"/>
      <c r="AF670" s="181"/>
      <c r="AG670" s="181"/>
      <c r="AH670" s="181"/>
      <c r="AI670" s="181"/>
      <c r="AJ670" s="181"/>
      <c r="AK670" s="181"/>
      <c r="AL670" s="181"/>
      <c r="AM670" s="181"/>
      <c r="AN670" s="181"/>
      <c r="AO670" s="181"/>
      <c r="AP670" s="181"/>
      <c r="AQ670" s="181"/>
      <c r="AR670" s="181"/>
      <c r="AS670" s="181"/>
      <c r="AT670" s="181"/>
      <c r="AU670" s="181"/>
      <c r="AV670" s="181"/>
      <c r="AW670" s="181"/>
    </row>
    <row r="671" spans="1:49" ht="13.5" customHeight="1" x14ac:dyDescent="0.3">
      <c r="A671" s="1"/>
      <c r="B671" s="181"/>
      <c r="C671" s="181"/>
      <c r="D671" s="181"/>
      <c r="E671" s="182"/>
      <c r="F671" s="182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  <c r="AC671" s="181"/>
      <c r="AD671" s="181"/>
      <c r="AE671" s="181"/>
      <c r="AF671" s="181"/>
      <c r="AG671" s="181"/>
      <c r="AH671" s="181"/>
      <c r="AI671" s="181"/>
      <c r="AJ671" s="181"/>
      <c r="AK671" s="181"/>
      <c r="AL671" s="181"/>
      <c r="AM671" s="181"/>
      <c r="AN671" s="181"/>
      <c r="AO671" s="181"/>
      <c r="AP671" s="181"/>
      <c r="AQ671" s="181"/>
      <c r="AR671" s="181"/>
      <c r="AS671" s="181"/>
      <c r="AT671" s="181"/>
      <c r="AU671" s="181"/>
      <c r="AV671" s="181"/>
      <c r="AW671" s="181"/>
    </row>
    <row r="672" spans="1:49" ht="13.5" customHeight="1" x14ac:dyDescent="0.3">
      <c r="A672" s="1"/>
      <c r="B672" s="181"/>
      <c r="C672" s="181"/>
      <c r="D672" s="181"/>
      <c r="E672" s="182"/>
      <c r="F672" s="182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  <c r="AC672" s="181"/>
      <c r="AD672" s="181"/>
      <c r="AE672" s="181"/>
      <c r="AF672" s="181"/>
      <c r="AG672" s="181"/>
      <c r="AH672" s="181"/>
      <c r="AI672" s="181"/>
      <c r="AJ672" s="181"/>
      <c r="AK672" s="181"/>
      <c r="AL672" s="181"/>
      <c r="AM672" s="181"/>
      <c r="AN672" s="181"/>
      <c r="AO672" s="181"/>
      <c r="AP672" s="181"/>
      <c r="AQ672" s="181"/>
      <c r="AR672" s="181"/>
      <c r="AS672" s="181"/>
      <c r="AT672" s="181"/>
      <c r="AU672" s="181"/>
      <c r="AV672" s="181"/>
      <c r="AW672" s="181"/>
    </row>
    <row r="673" spans="1:49" ht="13.5" customHeight="1" x14ac:dyDescent="0.3">
      <c r="A673" s="1"/>
      <c r="B673" s="181"/>
      <c r="C673" s="181"/>
      <c r="D673" s="181"/>
      <c r="E673" s="182"/>
      <c r="F673" s="182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  <c r="AC673" s="181"/>
      <c r="AD673" s="181"/>
      <c r="AE673" s="181"/>
      <c r="AF673" s="181"/>
      <c r="AG673" s="181"/>
      <c r="AH673" s="181"/>
      <c r="AI673" s="181"/>
      <c r="AJ673" s="181"/>
      <c r="AK673" s="181"/>
      <c r="AL673" s="181"/>
      <c r="AM673" s="181"/>
      <c r="AN673" s="181"/>
      <c r="AO673" s="181"/>
      <c r="AP673" s="181"/>
      <c r="AQ673" s="181"/>
      <c r="AR673" s="181"/>
      <c r="AS673" s="181"/>
      <c r="AT673" s="181"/>
      <c r="AU673" s="181"/>
      <c r="AV673" s="181"/>
      <c r="AW673" s="181"/>
    </row>
    <row r="674" spans="1:49" ht="13.5" customHeight="1" x14ac:dyDescent="0.3">
      <c r="A674" s="1"/>
      <c r="B674" s="181"/>
      <c r="C674" s="181"/>
      <c r="D674" s="181"/>
      <c r="E674" s="182"/>
      <c r="F674" s="182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  <c r="AC674" s="181"/>
      <c r="AD674" s="181"/>
      <c r="AE674" s="181"/>
      <c r="AF674" s="181"/>
      <c r="AG674" s="181"/>
      <c r="AH674" s="181"/>
      <c r="AI674" s="181"/>
      <c r="AJ674" s="181"/>
      <c r="AK674" s="181"/>
      <c r="AL674" s="181"/>
      <c r="AM674" s="181"/>
      <c r="AN674" s="181"/>
      <c r="AO674" s="181"/>
      <c r="AP674" s="181"/>
      <c r="AQ674" s="181"/>
      <c r="AR674" s="181"/>
      <c r="AS674" s="181"/>
      <c r="AT674" s="181"/>
      <c r="AU674" s="181"/>
      <c r="AV674" s="181"/>
      <c r="AW674" s="181"/>
    </row>
    <row r="675" spans="1:49" ht="13.5" customHeight="1" x14ac:dyDescent="0.3">
      <c r="A675" s="1"/>
      <c r="B675" s="181"/>
      <c r="C675" s="181"/>
      <c r="D675" s="181"/>
      <c r="E675" s="182"/>
      <c r="F675" s="182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  <c r="AC675" s="181"/>
      <c r="AD675" s="181"/>
      <c r="AE675" s="181"/>
      <c r="AF675" s="181"/>
      <c r="AG675" s="181"/>
      <c r="AH675" s="181"/>
      <c r="AI675" s="181"/>
      <c r="AJ675" s="181"/>
      <c r="AK675" s="181"/>
      <c r="AL675" s="181"/>
      <c r="AM675" s="181"/>
      <c r="AN675" s="181"/>
      <c r="AO675" s="181"/>
      <c r="AP675" s="181"/>
      <c r="AQ675" s="181"/>
      <c r="AR675" s="181"/>
      <c r="AS675" s="181"/>
      <c r="AT675" s="181"/>
      <c r="AU675" s="181"/>
      <c r="AV675" s="181"/>
      <c r="AW675" s="181"/>
    </row>
    <row r="676" spans="1:49" ht="13.5" customHeight="1" x14ac:dyDescent="0.3">
      <c r="A676" s="1"/>
      <c r="B676" s="181"/>
      <c r="C676" s="181"/>
      <c r="D676" s="181"/>
      <c r="E676" s="182"/>
      <c r="F676" s="182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  <c r="AC676" s="181"/>
      <c r="AD676" s="181"/>
      <c r="AE676" s="181"/>
      <c r="AF676" s="181"/>
      <c r="AG676" s="181"/>
      <c r="AH676" s="181"/>
      <c r="AI676" s="181"/>
      <c r="AJ676" s="181"/>
      <c r="AK676" s="181"/>
      <c r="AL676" s="181"/>
      <c r="AM676" s="181"/>
      <c r="AN676" s="181"/>
      <c r="AO676" s="181"/>
      <c r="AP676" s="181"/>
      <c r="AQ676" s="181"/>
      <c r="AR676" s="181"/>
      <c r="AS676" s="181"/>
      <c r="AT676" s="181"/>
      <c r="AU676" s="181"/>
      <c r="AV676" s="181"/>
      <c r="AW676" s="181"/>
    </row>
    <row r="677" spans="1:49" ht="13.5" customHeight="1" x14ac:dyDescent="0.3">
      <c r="A677" s="1"/>
      <c r="B677" s="181"/>
      <c r="C677" s="181"/>
      <c r="D677" s="181"/>
      <c r="E677" s="182"/>
      <c r="F677" s="182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  <c r="AC677" s="181"/>
      <c r="AD677" s="181"/>
      <c r="AE677" s="181"/>
      <c r="AF677" s="181"/>
      <c r="AG677" s="181"/>
      <c r="AH677" s="181"/>
      <c r="AI677" s="181"/>
      <c r="AJ677" s="181"/>
      <c r="AK677" s="181"/>
      <c r="AL677" s="181"/>
      <c r="AM677" s="181"/>
      <c r="AN677" s="181"/>
      <c r="AO677" s="181"/>
      <c r="AP677" s="181"/>
      <c r="AQ677" s="181"/>
      <c r="AR677" s="181"/>
      <c r="AS677" s="181"/>
      <c r="AT677" s="181"/>
      <c r="AU677" s="181"/>
      <c r="AV677" s="181"/>
      <c r="AW677" s="181"/>
    </row>
    <row r="678" spans="1:49" ht="13.5" customHeight="1" x14ac:dyDescent="0.3">
      <c r="A678" s="1"/>
      <c r="B678" s="181"/>
      <c r="C678" s="181"/>
      <c r="D678" s="181"/>
      <c r="E678" s="182"/>
      <c r="F678" s="182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  <c r="AC678" s="181"/>
      <c r="AD678" s="181"/>
      <c r="AE678" s="181"/>
      <c r="AF678" s="181"/>
      <c r="AG678" s="181"/>
      <c r="AH678" s="181"/>
      <c r="AI678" s="181"/>
      <c r="AJ678" s="181"/>
      <c r="AK678" s="181"/>
      <c r="AL678" s="181"/>
      <c r="AM678" s="181"/>
      <c r="AN678" s="181"/>
      <c r="AO678" s="181"/>
      <c r="AP678" s="181"/>
      <c r="AQ678" s="181"/>
      <c r="AR678" s="181"/>
      <c r="AS678" s="181"/>
      <c r="AT678" s="181"/>
      <c r="AU678" s="181"/>
      <c r="AV678" s="181"/>
      <c r="AW678" s="181"/>
    </row>
    <row r="679" spans="1:49" ht="13.5" customHeight="1" x14ac:dyDescent="0.3">
      <c r="A679" s="1"/>
      <c r="B679" s="181"/>
      <c r="C679" s="181"/>
      <c r="D679" s="181"/>
      <c r="E679" s="182"/>
      <c r="F679" s="182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  <c r="AC679" s="181"/>
      <c r="AD679" s="181"/>
      <c r="AE679" s="181"/>
      <c r="AF679" s="181"/>
      <c r="AG679" s="181"/>
      <c r="AH679" s="181"/>
      <c r="AI679" s="181"/>
      <c r="AJ679" s="181"/>
      <c r="AK679" s="181"/>
      <c r="AL679" s="181"/>
      <c r="AM679" s="181"/>
      <c r="AN679" s="181"/>
      <c r="AO679" s="181"/>
      <c r="AP679" s="181"/>
      <c r="AQ679" s="181"/>
      <c r="AR679" s="181"/>
      <c r="AS679" s="181"/>
      <c r="AT679" s="181"/>
      <c r="AU679" s="181"/>
      <c r="AV679" s="181"/>
      <c r="AW679" s="181"/>
    </row>
    <row r="680" spans="1:49" ht="13.5" customHeight="1" x14ac:dyDescent="0.3">
      <c r="A680" s="1"/>
      <c r="B680" s="181"/>
      <c r="C680" s="181"/>
      <c r="D680" s="181"/>
      <c r="E680" s="182"/>
      <c r="F680" s="182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  <c r="AC680" s="181"/>
      <c r="AD680" s="181"/>
      <c r="AE680" s="181"/>
      <c r="AF680" s="181"/>
      <c r="AG680" s="181"/>
      <c r="AH680" s="181"/>
      <c r="AI680" s="181"/>
      <c r="AJ680" s="181"/>
      <c r="AK680" s="181"/>
      <c r="AL680" s="181"/>
      <c r="AM680" s="181"/>
      <c r="AN680" s="181"/>
      <c r="AO680" s="181"/>
      <c r="AP680" s="181"/>
      <c r="AQ680" s="181"/>
      <c r="AR680" s="181"/>
      <c r="AS680" s="181"/>
      <c r="AT680" s="181"/>
      <c r="AU680" s="181"/>
      <c r="AV680" s="181"/>
      <c r="AW680" s="181"/>
    </row>
    <row r="681" spans="1:49" ht="13.5" customHeight="1" x14ac:dyDescent="0.3">
      <c r="A681" s="1"/>
      <c r="B681" s="181"/>
      <c r="C681" s="181"/>
      <c r="D681" s="181"/>
      <c r="E681" s="182"/>
      <c r="F681" s="182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  <c r="AC681" s="181"/>
      <c r="AD681" s="181"/>
      <c r="AE681" s="181"/>
      <c r="AF681" s="181"/>
      <c r="AG681" s="181"/>
      <c r="AH681" s="181"/>
      <c r="AI681" s="181"/>
      <c r="AJ681" s="181"/>
      <c r="AK681" s="181"/>
      <c r="AL681" s="181"/>
      <c r="AM681" s="181"/>
      <c r="AN681" s="181"/>
      <c r="AO681" s="181"/>
      <c r="AP681" s="181"/>
      <c r="AQ681" s="181"/>
      <c r="AR681" s="181"/>
      <c r="AS681" s="181"/>
      <c r="AT681" s="181"/>
      <c r="AU681" s="181"/>
      <c r="AV681" s="181"/>
      <c r="AW681" s="181"/>
    </row>
    <row r="682" spans="1:49" ht="13.5" customHeight="1" x14ac:dyDescent="0.3">
      <c r="A682" s="1"/>
      <c r="B682" s="181"/>
      <c r="C682" s="181"/>
      <c r="D682" s="181"/>
      <c r="E682" s="182"/>
      <c r="F682" s="182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  <c r="AC682" s="181"/>
      <c r="AD682" s="181"/>
      <c r="AE682" s="181"/>
      <c r="AF682" s="181"/>
      <c r="AG682" s="181"/>
      <c r="AH682" s="181"/>
      <c r="AI682" s="181"/>
      <c r="AJ682" s="181"/>
      <c r="AK682" s="181"/>
      <c r="AL682" s="181"/>
      <c r="AM682" s="181"/>
      <c r="AN682" s="181"/>
      <c r="AO682" s="181"/>
      <c r="AP682" s="181"/>
      <c r="AQ682" s="181"/>
      <c r="AR682" s="181"/>
      <c r="AS682" s="181"/>
      <c r="AT682" s="181"/>
      <c r="AU682" s="181"/>
      <c r="AV682" s="181"/>
      <c r="AW682" s="181"/>
    </row>
    <row r="683" spans="1:49" ht="13.5" customHeight="1" x14ac:dyDescent="0.3">
      <c r="A683" s="1"/>
      <c r="B683" s="181"/>
      <c r="C683" s="181"/>
      <c r="D683" s="181"/>
      <c r="E683" s="182"/>
      <c r="F683" s="182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  <c r="AC683" s="181"/>
      <c r="AD683" s="181"/>
      <c r="AE683" s="181"/>
      <c r="AF683" s="181"/>
      <c r="AG683" s="181"/>
      <c r="AH683" s="181"/>
      <c r="AI683" s="181"/>
      <c r="AJ683" s="181"/>
      <c r="AK683" s="181"/>
      <c r="AL683" s="181"/>
      <c r="AM683" s="181"/>
      <c r="AN683" s="181"/>
      <c r="AO683" s="181"/>
      <c r="AP683" s="181"/>
      <c r="AQ683" s="181"/>
      <c r="AR683" s="181"/>
      <c r="AS683" s="181"/>
      <c r="AT683" s="181"/>
      <c r="AU683" s="181"/>
      <c r="AV683" s="181"/>
      <c r="AW683" s="181"/>
    </row>
    <row r="684" spans="1:49" ht="13.5" customHeight="1" x14ac:dyDescent="0.3">
      <c r="A684" s="1"/>
      <c r="B684" s="181"/>
      <c r="C684" s="181"/>
      <c r="D684" s="181"/>
      <c r="E684" s="182"/>
      <c r="F684" s="182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  <c r="AC684" s="181"/>
      <c r="AD684" s="181"/>
      <c r="AE684" s="181"/>
      <c r="AF684" s="181"/>
      <c r="AG684" s="181"/>
      <c r="AH684" s="181"/>
      <c r="AI684" s="181"/>
      <c r="AJ684" s="181"/>
      <c r="AK684" s="181"/>
      <c r="AL684" s="181"/>
      <c r="AM684" s="181"/>
      <c r="AN684" s="181"/>
      <c r="AO684" s="181"/>
      <c r="AP684" s="181"/>
      <c r="AQ684" s="181"/>
      <c r="AR684" s="181"/>
      <c r="AS684" s="181"/>
      <c r="AT684" s="181"/>
      <c r="AU684" s="181"/>
      <c r="AV684" s="181"/>
      <c r="AW684" s="181"/>
    </row>
    <row r="685" spans="1:49" ht="13.5" customHeight="1" x14ac:dyDescent="0.3">
      <c r="A685" s="1"/>
      <c r="B685" s="181"/>
      <c r="C685" s="181"/>
      <c r="D685" s="181"/>
      <c r="E685" s="182"/>
      <c r="F685" s="182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  <c r="AC685" s="181"/>
      <c r="AD685" s="181"/>
      <c r="AE685" s="181"/>
      <c r="AF685" s="181"/>
      <c r="AG685" s="181"/>
      <c r="AH685" s="181"/>
      <c r="AI685" s="181"/>
      <c r="AJ685" s="181"/>
      <c r="AK685" s="181"/>
      <c r="AL685" s="181"/>
      <c r="AM685" s="181"/>
      <c r="AN685" s="181"/>
      <c r="AO685" s="181"/>
      <c r="AP685" s="181"/>
      <c r="AQ685" s="181"/>
      <c r="AR685" s="181"/>
      <c r="AS685" s="181"/>
      <c r="AT685" s="181"/>
      <c r="AU685" s="181"/>
      <c r="AV685" s="181"/>
      <c r="AW685" s="181"/>
    </row>
    <row r="686" spans="1:49" ht="13.5" customHeight="1" x14ac:dyDescent="0.3">
      <c r="A686" s="1"/>
      <c r="B686" s="181"/>
      <c r="C686" s="181"/>
      <c r="D686" s="181"/>
      <c r="E686" s="182"/>
      <c r="F686" s="182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  <c r="AC686" s="181"/>
      <c r="AD686" s="181"/>
      <c r="AE686" s="181"/>
      <c r="AF686" s="181"/>
      <c r="AG686" s="181"/>
      <c r="AH686" s="181"/>
      <c r="AI686" s="181"/>
      <c r="AJ686" s="181"/>
      <c r="AK686" s="181"/>
      <c r="AL686" s="181"/>
      <c r="AM686" s="181"/>
      <c r="AN686" s="181"/>
      <c r="AO686" s="181"/>
      <c r="AP686" s="181"/>
      <c r="AQ686" s="181"/>
      <c r="AR686" s="181"/>
      <c r="AS686" s="181"/>
      <c r="AT686" s="181"/>
      <c r="AU686" s="181"/>
      <c r="AV686" s="181"/>
      <c r="AW686" s="181"/>
    </row>
    <row r="687" spans="1:49" ht="13.5" customHeight="1" x14ac:dyDescent="0.3">
      <c r="A687" s="1"/>
      <c r="B687" s="181"/>
      <c r="C687" s="181"/>
      <c r="D687" s="181"/>
      <c r="E687" s="182"/>
      <c r="F687" s="182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  <c r="AC687" s="181"/>
      <c r="AD687" s="181"/>
      <c r="AE687" s="181"/>
      <c r="AF687" s="181"/>
      <c r="AG687" s="181"/>
      <c r="AH687" s="181"/>
      <c r="AI687" s="181"/>
      <c r="AJ687" s="181"/>
      <c r="AK687" s="181"/>
      <c r="AL687" s="181"/>
      <c r="AM687" s="181"/>
      <c r="AN687" s="181"/>
      <c r="AO687" s="181"/>
      <c r="AP687" s="181"/>
      <c r="AQ687" s="181"/>
      <c r="AR687" s="181"/>
      <c r="AS687" s="181"/>
      <c r="AT687" s="181"/>
      <c r="AU687" s="181"/>
      <c r="AV687" s="181"/>
      <c r="AW687" s="181"/>
    </row>
    <row r="688" spans="1:49" ht="13.5" customHeight="1" x14ac:dyDescent="0.3">
      <c r="A688" s="1"/>
      <c r="B688" s="181"/>
      <c r="C688" s="181"/>
      <c r="D688" s="181"/>
      <c r="E688" s="182"/>
      <c r="F688" s="182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  <c r="AC688" s="181"/>
      <c r="AD688" s="181"/>
      <c r="AE688" s="181"/>
      <c r="AF688" s="181"/>
      <c r="AG688" s="181"/>
      <c r="AH688" s="181"/>
      <c r="AI688" s="181"/>
      <c r="AJ688" s="181"/>
      <c r="AK688" s="181"/>
      <c r="AL688" s="181"/>
      <c r="AM688" s="181"/>
      <c r="AN688" s="181"/>
      <c r="AO688" s="181"/>
      <c r="AP688" s="181"/>
      <c r="AQ688" s="181"/>
      <c r="AR688" s="181"/>
      <c r="AS688" s="181"/>
      <c r="AT688" s="181"/>
      <c r="AU688" s="181"/>
      <c r="AV688" s="181"/>
      <c r="AW688" s="181"/>
    </row>
    <row r="689" spans="1:49" ht="13.5" customHeight="1" x14ac:dyDescent="0.3">
      <c r="A689" s="1"/>
      <c r="B689" s="181"/>
      <c r="C689" s="181"/>
      <c r="D689" s="181"/>
      <c r="E689" s="182"/>
      <c r="F689" s="182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  <c r="AC689" s="181"/>
      <c r="AD689" s="181"/>
      <c r="AE689" s="181"/>
      <c r="AF689" s="181"/>
      <c r="AG689" s="181"/>
      <c r="AH689" s="181"/>
      <c r="AI689" s="181"/>
      <c r="AJ689" s="181"/>
      <c r="AK689" s="181"/>
      <c r="AL689" s="181"/>
      <c r="AM689" s="181"/>
      <c r="AN689" s="181"/>
      <c r="AO689" s="181"/>
      <c r="AP689" s="181"/>
      <c r="AQ689" s="181"/>
      <c r="AR689" s="181"/>
      <c r="AS689" s="181"/>
      <c r="AT689" s="181"/>
      <c r="AU689" s="181"/>
      <c r="AV689" s="181"/>
      <c r="AW689" s="181"/>
    </row>
    <row r="690" spans="1:49" ht="13.5" customHeight="1" x14ac:dyDescent="0.3">
      <c r="A690" s="1"/>
      <c r="B690" s="181"/>
      <c r="C690" s="181"/>
      <c r="D690" s="181"/>
      <c r="E690" s="182"/>
      <c r="F690" s="182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  <c r="AC690" s="181"/>
      <c r="AD690" s="181"/>
      <c r="AE690" s="181"/>
      <c r="AF690" s="181"/>
      <c r="AG690" s="181"/>
      <c r="AH690" s="181"/>
      <c r="AI690" s="181"/>
      <c r="AJ690" s="181"/>
      <c r="AK690" s="181"/>
      <c r="AL690" s="181"/>
      <c r="AM690" s="181"/>
      <c r="AN690" s="181"/>
      <c r="AO690" s="181"/>
      <c r="AP690" s="181"/>
      <c r="AQ690" s="181"/>
      <c r="AR690" s="181"/>
      <c r="AS690" s="181"/>
      <c r="AT690" s="181"/>
      <c r="AU690" s="181"/>
      <c r="AV690" s="181"/>
      <c r="AW690" s="181"/>
    </row>
    <row r="691" spans="1:49" ht="13.5" customHeight="1" x14ac:dyDescent="0.3">
      <c r="A691" s="1"/>
      <c r="B691" s="181"/>
      <c r="C691" s="181"/>
      <c r="D691" s="181"/>
      <c r="E691" s="182"/>
      <c r="F691" s="182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  <c r="AC691" s="181"/>
      <c r="AD691" s="181"/>
      <c r="AE691" s="181"/>
      <c r="AF691" s="181"/>
      <c r="AG691" s="181"/>
      <c r="AH691" s="181"/>
      <c r="AI691" s="181"/>
      <c r="AJ691" s="181"/>
      <c r="AK691" s="181"/>
      <c r="AL691" s="181"/>
      <c r="AM691" s="181"/>
      <c r="AN691" s="181"/>
      <c r="AO691" s="181"/>
      <c r="AP691" s="181"/>
      <c r="AQ691" s="181"/>
      <c r="AR691" s="181"/>
      <c r="AS691" s="181"/>
      <c r="AT691" s="181"/>
      <c r="AU691" s="181"/>
      <c r="AV691" s="181"/>
      <c r="AW691" s="181"/>
    </row>
    <row r="692" spans="1:49" ht="13.5" customHeight="1" x14ac:dyDescent="0.3">
      <c r="A692" s="1"/>
      <c r="B692" s="181"/>
      <c r="C692" s="181"/>
      <c r="D692" s="181"/>
      <c r="E692" s="182"/>
      <c r="F692" s="182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  <c r="AC692" s="181"/>
      <c r="AD692" s="181"/>
      <c r="AE692" s="181"/>
      <c r="AF692" s="181"/>
      <c r="AG692" s="181"/>
      <c r="AH692" s="181"/>
      <c r="AI692" s="181"/>
      <c r="AJ692" s="181"/>
      <c r="AK692" s="181"/>
      <c r="AL692" s="181"/>
      <c r="AM692" s="181"/>
      <c r="AN692" s="181"/>
      <c r="AO692" s="181"/>
      <c r="AP692" s="181"/>
      <c r="AQ692" s="181"/>
      <c r="AR692" s="181"/>
      <c r="AS692" s="181"/>
      <c r="AT692" s="181"/>
      <c r="AU692" s="181"/>
      <c r="AV692" s="181"/>
      <c r="AW692" s="181"/>
    </row>
    <row r="693" spans="1:49" ht="13.5" customHeight="1" x14ac:dyDescent="0.3">
      <c r="A693" s="1"/>
      <c r="B693" s="181"/>
      <c r="C693" s="181"/>
      <c r="D693" s="181"/>
      <c r="E693" s="182"/>
      <c r="F693" s="182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  <c r="AC693" s="181"/>
      <c r="AD693" s="181"/>
      <c r="AE693" s="181"/>
      <c r="AF693" s="181"/>
      <c r="AG693" s="181"/>
      <c r="AH693" s="181"/>
      <c r="AI693" s="181"/>
      <c r="AJ693" s="181"/>
      <c r="AK693" s="181"/>
      <c r="AL693" s="181"/>
      <c r="AM693" s="181"/>
      <c r="AN693" s="181"/>
      <c r="AO693" s="181"/>
      <c r="AP693" s="181"/>
      <c r="AQ693" s="181"/>
      <c r="AR693" s="181"/>
      <c r="AS693" s="181"/>
      <c r="AT693" s="181"/>
      <c r="AU693" s="181"/>
      <c r="AV693" s="181"/>
      <c r="AW693" s="181"/>
    </row>
    <row r="694" spans="1:49" ht="13.5" customHeight="1" x14ac:dyDescent="0.3">
      <c r="A694" s="1"/>
      <c r="B694" s="181"/>
      <c r="C694" s="181"/>
      <c r="D694" s="181"/>
      <c r="E694" s="182"/>
      <c r="F694" s="182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  <c r="AC694" s="181"/>
      <c r="AD694" s="181"/>
      <c r="AE694" s="181"/>
      <c r="AF694" s="181"/>
      <c r="AG694" s="181"/>
      <c r="AH694" s="181"/>
      <c r="AI694" s="181"/>
      <c r="AJ694" s="181"/>
      <c r="AK694" s="181"/>
      <c r="AL694" s="181"/>
      <c r="AM694" s="181"/>
      <c r="AN694" s="181"/>
      <c r="AO694" s="181"/>
      <c r="AP694" s="181"/>
      <c r="AQ694" s="181"/>
      <c r="AR694" s="181"/>
      <c r="AS694" s="181"/>
      <c r="AT694" s="181"/>
      <c r="AU694" s="181"/>
      <c r="AV694" s="181"/>
      <c r="AW694" s="181"/>
    </row>
    <row r="695" spans="1:49" ht="13.5" customHeight="1" x14ac:dyDescent="0.3">
      <c r="A695" s="1"/>
      <c r="B695" s="181"/>
      <c r="C695" s="181"/>
      <c r="D695" s="181"/>
      <c r="E695" s="182"/>
      <c r="F695" s="182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  <c r="AC695" s="181"/>
      <c r="AD695" s="181"/>
      <c r="AE695" s="181"/>
      <c r="AF695" s="181"/>
      <c r="AG695" s="181"/>
      <c r="AH695" s="181"/>
      <c r="AI695" s="181"/>
      <c r="AJ695" s="181"/>
      <c r="AK695" s="181"/>
      <c r="AL695" s="181"/>
      <c r="AM695" s="181"/>
      <c r="AN695" s="181"/>
      <c r="AO695" s="181"/>
      <c r="AP695" s="181"/>
      <c r="AQ695" s="181"/>
      <c r="AR695" s="181"/>
      <c r="AS695" s="181"/>
      <c r="AT695" s="181"/>
      <c r="AU695" s="181"/>
      <c r="AV695" s="181"/>
      <c r="AW695" s="181"/>
    </row>
    <row r="696" spans="1:49" ht="13.5" customHeight="1" x14ac:dyDescent="0.3">
      <c r="A696" s="1"/>
      <c r="B696" s="181"/>
      <c r="C696" s="181"/>
      <c r="D696" s="181"/>
      <c r="E696" s="182"/>
      <c r="F696" s="182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  <c r="AC696" s="181"/>
      <c r="AD696" s="181"/>
      <c r="AE696" s="181"/>
      <c r="AF696" s="181"/>
      <c r="AG696" s="181"/>
      <c r="AH696" s="181"/>
      <c r="AI696" s="181"/>
      <c r="AJ696" s="181"/>
      <c r="AK696" s="181"/>
      <c r="AL696" s="181"/>
      <c r="AM696" s="181"/>
      <c r="AN696" s="181"/>
      <c r="AO696" s="181"/>
      <c r="AP696" s="181"/>
      <c r="AQ696" s="181"/>
      <c r="AR696" s="181"/>
      <c r="AS696" s="181"/>
      <c r="AT696" s="181"/>
      <c r="AU696" s="181"/>
      <c r="AV696" s="181"/>
      <c r="AW696" s="181"/>
    </row>
    <row r="697" spans="1:49" ht="13.5" customHeight="1" x14ac:dyDescent="0.3">
      <c r="A697" s="1"/>
      <c r="B697" s="181"/>
      <c r="C697" s="181"/>
      <c r="D697" s="181"/>
      <c r="E697" s="182"/>
      <c r="F697" s="182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  <c r="AC697" s="181"/>
      <c r="AD697" s="181"/>
      <c r="AE697" s="181"/>
      <c r="AF697" s="181"/>
      <c r="AG697" s="181"/>
      <c r="AH697" s="181"/>
      <c r="AI697" s="181"/>
      <c r="AJ697" s="181"/>
      <c r="AK697" s="181"/>
      <c r="AL697" s="181"/>
      <c r="AM697" s="181"/>
      <c r="AN697" s="181"/>
      <c r="AO697" s="181"/>
      <c r="AP697" s="181"/>
      <c r="AQ697" s="181"/>
      <c r="AR697" s="181"/>
      <c r="AS697" s="181"/>
      <c r="AT697" s="181"/>
      <c r="AU697" s="181"/>
      <c r="AV697" s="181"/>
      <c r="AW697" s="181"/>
    </row>
    <row r="698" spans="1:49" ht="13.5" customHeight="1" x14ac:dyDescent="0.3">
      <c r="A698" s="1"/>
      <c r="B698" s="181"/>
      <c r="C698" s="181"/>
      <c r="D698" s="181"/>
      <c r="E698" s="182"/>
      <c r="F698" s="182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  <c r="AC698" s="181"/>
      <c r="AD698" s="181"/>
      <c r="AE698" s="181"/>
      <c r="AF698" s="181"/>
      <c r="AG698" s="181"/>
      <c r="AH698" s="181"/>
      <c r="AI698" s="181"/>
      <c r="AJ698" s="181"/>
      <c r="AK698" s="181"/>
      <c r="AL698" s="181"/>
      <c r="AM698" s="181"/>
      <c r="AN698" s="181"/>
      <c r="AO698" s="181"/>
      <c r="AP698" s="181"/>
      <c r="AQ698" s="181"/>
      <c r="AR698" s="181"/>
      <c r="AS698" s="181"/>
      <c r="AT698" s="181"/>
      <c r="AU698" s="181"/>
      <c r="AV698" s="181"/>
      <c r="AW698" s="181"/>
    </row>
    <row r="699" spans="1:49" ht="13.5" customHeight="1" x14ac:dyDescent="0.3">
      <c r="A699" s="1"/>
      <c r="B699" s="181"/>
      <c r="C699" s="181"/>
      <c r="D699" s="181"/>
      <c r="E699" s="182"/>
      <c r="F699" s="182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  <c r="AC699" s="181"/>
      <c r="AD699" s="181"/>
      <c r="AE699" s="181"/>
      <c r="AF699" s="181"/>
      <c r="AG699" s="181"/>
      <c r="AH699" s="181"/>
      <c r="AI699" s="181"/>
      <c r="AJ699" s="181"/>
      <c r="AK699" s="181"/>
      <c r="AL699" s="181"/>
      <c r="AM699" s="181"/>
      <c r="AN699" s="181"/>
      <c r="AO699" s="181"/>
      <c r="AP699" s="181"/>
      <c r="AQ699" s="181"/>
      <c r="AR699" s="181"/>
      <c r="AS699" s="181"/>
      <c r="AT699" s="181"/>
      <c r="AU699" s="181"/>
      <c r="AV699" s="181"/>
      <c r="AW699" s="181"/>
    </row>
    <row r="700" spans="1:49" ht="13.5" customHeight="1" x14ac:dyDescent="0.3">
      <c r="A700" s="1"/>
      <c r="B700" s="181"/>
      <c r="C700" s="181"/>
      <c r="D700" s="181"/>
      <c r="E700" s="182"/>
      <c r="F700" s="182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  <c r="AC700" s="181"/>
      <c r="AD700" s="181"/>
      <c r="AE700" s="181"/>
      <c r="AF700" s="181"/>
      <c r="AG700" s="181"/>
      <c r="AH700" s="181"/>
      <c r="AI700" s="181"/>
      <c r="AJ700" s="181"/>
      <c r="AK700" s="181"/>
      <c r="AL700" s="181"/>
      <c r="AM700" s="181"/>
      <c r="AN700" s="181"/>
      <c r="AO700" s="181"/>
      <c r="AP700" s="181"/>
      <c r="AQ700" s="181"/>
      <c r="AR700" s="181"/>
      <c r="AS700" s="181"/>
      <c r="AT700" s="181"/>
      <c r="AU700" s="181"/>
      <c r="AV700" s="181"/>
      <c r="AW700" s="181"/>
    </row>
    <row r="701" spans="1:49" ht="13.5" customHeight="1" x14ac:dyDescent="0.3">
      <c r="A701" s="1"/>
      <c r="B701" s="181"/>
      <c r="C701" s="181"/>
      <c r="D701" s="181"/>
      <c r="E701" s="182"/>
      <c r="F701" s="182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  <c r="AC701" s="181"/>
      <c r="AD701" s="181"/>
      <c r="AE701" s="181"/>
      <c r="AF701" s="181"/>
      <c r="AG701" s="181"/>
      <c r="AH701" s="181"/>
      <c r="AI701" s="181"/>
      <c r="AJ701" s="181"/>
      <c r="AK701" s="181"/>
      <c r="AL701" s="181"/>
      <c r="AM701" s="181"/>
      <c r="AN701" s="181"/>
      <c r="AO701" s="181"/>
      <c r="AP701" s="181"/>
      <c r="AQ701" s="181"/>
      <c r="AR701" s="181"/>
      <c r="AS701" s="181"/>
      <c r="AT701" s="181"/>
      <c r="AU701" s="181"/>
      <c r="AV701" s="181"/>
      <c r="AW701" s="181"/>
    </row>
    <row r="702" spans="1:49" ht="13.5" customHeight="1" x14ac:dyDescent="0.3">
      <c r="A702" s="1"/>
      <c r="B702" s="181"/>
      <c r="C702" s="181"/>
      <c r="D702" s="181"/>
      <c r="E702" s="182"/>
      <c r="F702" s="182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  <c r="AC702" s="181"/>
      <c r="AD702" s="181"/>
      <c r="AE702" s="181"/>
      <c r="AF702" s="181"/>
      <c r="AG702" s="181"/>
      <c r="AH702" s="181"/>
      <c r="AI702" s="181"/>
      <c r="AJ702" s="181"/>
      <c r="AK702" s="181"/>
      <c r="AL702" s="181"/>
      <c r="AM702" s="181"/>
      <c r="AN702" s="181"/>
      <c r="AO702" s="181"/>
      <c r="AP702" s="181"/>
      <c r="AQ702" s="181"/>
      <c r="AR702" s="181"/>
      <c r="AS702" s="181"/>
      <c r="AT702" s="181"/>
      <c r="AU702" s="181"/>
      <c r="AV702" s="181"/>
      <c r="AW702" s="181"/>
    </row>
    <row r="703" spans="1:49" ht="13.5" customHeight="1" x14ac:dyDescent="0.3">
      <c r="A703" s="1"/>
      <c r="B703" s="181"/>
      <c r="C703" s="181"/>
      <c r="D703" s="181"/>
      <c r="E703" s="182"/>
      <c r="F703" s="182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  <c r="AC703" s="181"/>
      <c r="AD703" s="181"/>
      <c r="AE703" s="181"/>
      <c r="AF703" s="181"/>
      <c r="AG703" s="181"/>
      <c r="AH703" s="181"/>
      <c r="AI703" s="181"/>
      <c r="AJ703" s="181"/>
      <c r="AK703" s="181"/>
      <c r="AL703" s="181"/>
      <c r="AM703" s="181"/>
      <c r="AN703" s="181"/>
      <c r="AO703" s="181"/>
      <c r="AP703" s="181"/>
      <c r="AQ703" s="181"/>
      <c r="AR703" s="181"/>
      <c r="AS703" s="181"/>
      <c r="AT703" s="181"/>
      <c r="AU703" s="181"/>
      <c r="AV703" s="181"/>
      <c r="AW703" s="181"/>
    </row>
    <row r="704" spans="1:49" ht="13.5" customHeight="1" x14ac:dyDescent="0.3">
      <c r="A704" s="1"/>
      <c r="B704" s="181"/>
      <c r="C704" s="181"/>
      <c r="D704" s="181"/>
      <c r="E704" s="182"/>
      <c r="F704" s="182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  <c r="AC704" s="181"/>
      <c r="AD704" s="181"/>
      <c r="AE704" s="181"/>
      <c r="AF704" s="181"/>
      <c r="AG704" s="181"/>
      <c r="AH704" s="181"/>
      <c r="AI704" s="181"/>
      <c r="AJ704" s="181"/>
      <c r="AK704" s="181"/>
      <c r="AL704" s="181"/>
      <c r="AM704" s="181"/>
      <c r="AN704" s="181"/>
      <c r="AO704" s="181"/>
      <c r="AP704" s="181"/>
      <c r="AQ704" s="181"/>
      <c r="AR704" s="181"/>
      <c r="AS704" s="181"/>
      <c r="AT704" s="181"/>
      <c r="AU704" s="181"/>
      <c r="AV704" s="181"/>
      <c r="AW704" s="181"/>
    </row>
    <row r="705" spans="1:49" ht="13.5" customHeight="1" x14ac:dyDescent="0.3">
      <c r="A705" s="1"/>
      <c r="B705" s="181"/>
      <c r="C705" s="181"/>
      <c r="D705" s="181"/>
      <c r="E705" s="182"/>
      <c r="F705" s="182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  <c r="AC705" s="181"/>
      <c r="AD705" s="181"/>
      <c r="AE705" s="181"/>
      <c r="AF705" s="181"/>
      <c r="AG705" s="181"/>
      <c r="AH705" s="181"/>
      <c r="AI705" s="181"/>
      <c r="AJ705" s="181"/>
      <c r="AK705" s="181"/>
      <c r="AL705" s="181"/>
      <c r="AM705" s="181"/>
      <c r="AN705" s="181"/>
      <c r="AO705" s="181"/>
      <c r="AP705" s="181"/>
      <c r="AQ705" s="181"/>
      <c r="AR705" s="181"/>
      <c r="AS705" s="181"/>
      <c r="AT705" s="181"/>
      <c r="AU705" s="181"/>
      <c r="AV705" s="181"/>
      <c r="AW705" s="181"/>
    </row>
    <row r="706" spans="1:49" ht="13.5" customHeight="1" x14ac:dyDescent="0.3">
      <c r="A706" s="1"/>
      <c r="B706" s="181"/>
      <c r="C706" s="181"/>
      <c r="D706" s="181"/>
      <c r="E706" s="182"/>
      <c r="F706" s="182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  <c r="AC706" s="181"/>
      <c r="AD706" s="181"/>
      <c r="AE706" s="181"/>
      <c r="AF706" s="181"/>
      <c r="AG706" s="181"/>
      <c r="AH706" s="181"/>
      <c r="AI706" s="181"/>
      <c r="AJ706" s="181"/>
      <c r="AK706" s="181"/>
      <c r="AL706" s="181"/>
      <c r="AM706" s="181"/>
      <c r="AN706" s="181"/>
      <c r="AO706" s="181"/>
      <c r="AP706" s="181"/>
      <c r="AQ706" s="181"/>
      <c r="AR706" s="181"/>
      <c r="AS706" s="181"/>
      <c r="AT706" s="181"/>
      <c r="AU706" s="181"/>
      <c r="AV706" s="181"/>
      <c r="AW706" s="181"/>
    </row>
    <row r="707" spans="1:49" ht="13.5" customHeight="1" x14ac:dyDescent="0.3">
      <c r="A707" s="1"/>
      <c r="B707" s="181"/>
      <c r="C707" s="181"/>
      <c r="D707" s="181"/>
      <c r="E707" s="182"/>
      <c r="F707" s="182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  <c r="AC707" s="181"/>
      <c r="AD707" s="181"/>
      <c r="AE707" s="181"/>
      <c r="AF707" s="181"/>
      <c r="AG707" s="181"/>
      <c r="AH707" s="181"/>
      <c r="AI707" s="181"/>
      <c r="AJ707" s="181"/>
      <c r="AK707" s="181"/>
      <c r="AL707" s="181"/>
      <c r="AM707" s="181"/>
      <c r="AN707" s="181"/>
      <c r="AO707" s="181"/>
      <c r="AP707" s="181"/>
      <c r="AQ707" s="181"/>
      <c r="AR707" s="181"/>
      <c r="AS707" s="181"/>
      <c r="AT707" s="181"/>
      <c r="AU707" s="181"/>
      <c r="AV707" s="181"/>
      <c r="AW707" s="181"/>
    </row>
    <row r="708" spans="1:49" ht="13.5" customHeight="1" x14ac:dyDescent="0.3">
      <c r="A708" s="1"/>
      <c r="B708" s="181"/>
      <c r="C708" s="181"/>
      <c r="D708" s="181"/>
      <c r="E708" s="182"/>
      <c r="F708" s="182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  <c r="AC708" s="181"/>
      <c r="AD708" s="181"/>
      <c r="AE708" s="181"/>
      <c r="AF708" s="181"/>
      <c r="AG708" s="181"/>
      <c r="AH708" s="181"/>
      <c r="AI708" s="181"/>
      <c r="AJ708" s="181"/>
      <c r="AK708" s="181"/>
      <c r="AL708" s="181"/>
      <c r="AM708" s="181"/>
      <c r="AN708" s="181"/>
      <c r="AO708" s="181"/>
      <c r="AP708" s="181"/>
      <c r="AQ708" s="181"/>
      <c r="AR708" s="181"/>
      <c r="AS708" s="181"/>
      <c r="AT708" s="181"/>
      <c r="AU708" s="181"/>
      <c r="AV708" s="181"/>
      <c r="AW708" s="181"/>
    </row>
    <row r="709" spans="1:49" ht="13.5" customHeight="1" x14ac:dyDescent="0.3">
      <c r="A709" s="1"/>
      <c r="B709" s="181"/>
      <c r="C709" s="181"/>
      <c r="D709" s="181"/>
      <c r="E709" s="182"/>
      <c r="F709" s="182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  <c r="AC709" s="181"/>
      <c r="AD709" s="181"/>
      <c r="AE709" s="181"/>
      <c r="AF709" s="181"/>
      <c r="AG709" s="181"/>
      <c r="AH709" s="181"/>
      <c r="AI709" s="181"/>
      <c r="AJ709" s="181"/>
      <c r="AK709" s="181"/>
      <c r="AL709" s="181"/>
      <c r="AM709" s="181"/>
      <c r="AN709" s="181"/>
      <c r="AO709" s="181"/>
      <c r="AP709" s="181"/>
      <c r="AQ709" s="181"/>
      <c r="AR709" s="181"/>
      <c r="AS709" s="181"/>
      <c r="AT709" s="181"/>
      <c r="AU709" s="181"/>
      <c r="AV709" s="181"/>
      <c r="AW709" s="181"/>
    </row>
    <row r="710" spans="1:49" ht="13.5" customHeight="1" x14ac:dyDescent="0.3">
      <c r="A710" s="1"/>
      <c r="B710" s="181"/>
      <c r="C710" s="181"/>
      <c r="D710" s="181"/>
      <c r="E710" s="182"/>
      <c r="F710" s="182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  <c r="AC710" s="181"/>
      <c r="AD710" s="181"/>
      <c r="AE710" s="181"/>
      <c r="AF710" s="181"/>
      <c r="AG710" s="181"/>
      <c r="AH710" s="181"/>
      <c r="AI710" s="181"/>
      <c r="AJ710" s="181"/>
      <c r="AK710" s="181"/>
      <c r="AL710" s="181"/>
      <c r="AM710" s="181"/>
      <c r="AN710" s="181"/>
      <c r="AO710" s="181"/>
      <c r="AP710" s="181"/>
      <c r="AQ710" s="181"/>
      <c r="AR710" s="181"/>
      <c r="AS710" s="181"/>
      <c r="AT710" s="181"/>
      <c r="AU710" s="181"/>
      <c r="AV710" s="181"/>
      <c r="AW710" s="181"/>
    </row>
    <row r="711" spans="1:49" ht="13.5" customHeight="1" x14ac:dyDescent="0.3">
      <c r="A711" s="1"/>
      <c r="B711" s="181"/>
      <c r="C711" s="181"/>
      <c r="D711" s="181"/>
      <c r="E711" s="182"/>
      <c r="F711" s="182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  <c r="AC711" s="181"/>
      <c r="AD711" s="181"/>
      <c r="AE711" s="181"/>
      <c r="AF711" s="181"/>
      <c r="AG711" s="181"/>
      <c r="AH711" s="181"/>
      <c r="AI711" s="181"/>
      <c r="AJ711" s="181"/>
      <c r="AK711" s="181"/>
      <c r="AL711" s="181"/>
      <c r="AM711" s="181"/>
      <c r="AN711" s="181"/>
      <c r="AO711" s="181"/>
      <c r="AP711" s="181"/>
      <c r="AQ711" s="181"/>
      <c r="AR711" s="181"/>
      <c r="AS711" s="181"/>
      <c r="AT711" s="181"/>
      <c r="AU711" s="181"/>
      <c r="AV711" s="181"/>
      <c r="AW711" s="181"/>
    </row>
    <row r="712" spans="1:49" ht="13.5" customHeight="1" x14ac:dyDescent="0.3">
      <c r="A712" s="1"/>
      <c r="B712" s="181"/>
      <c r="C712" s="181"/>
      <c r="D712" s="181"/>
      <c r="E712" s="182"/>
      <c r="F712" s="182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  <c r="AC712" s="181"/>
      <c r="AD712" s="181"/>
      <c r="AE712" s="181"/>
      <c r="AF712" s="181"/>
      <c r="AG712" s="181"/>
      <c r="AH712" s="181"/>
      <c r="AI712" s="181"/>
      <c r="AJ712" s="181"/>
      <c r="AK712" s="181"/>
      <c r="AL712" s="181"/>
      <c r="AM712" s="181"/>
      <c r="AN712" s="181"/>
      <c r="AO712" s="181"/>
      <c r="AP712" s="181"/>
      <c r="AQ712" s="181"/>
      <c r="AR712" s="181"/>
      <c r="AS712" s="181"/>
      <c r="AT712" s="181"/>
      <c r="AU712" s="181"/>
      <c r="AV712" s="181"/>
      <c r="AW712" s="181"/>
    </row>
    <row r="713" spans="1:49" ht="13.5" customHeight="1" x14ac:dyDescent="0.3">
      <c r="A713" s="1"/>
      <c r="B713" s="181"/>
      <c r="C713" s="181"/>
      <c r="D713" s="181"/>
      <c r="E713" s="182"/>
      <c r="F713" s="182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  <c r="AC713" s="181"/>
      <c r="AD713" s="181"/>
      <c r="AE713" s="181"/>
      <c r="AF713" s="181"/>
      <c r="AG713" s="181"/>
      <c r="AH713" s="181"/>
      <c r="AI713" s="181"/>
      <c r="AJ713" s="181"/>
      <c r="AK713" s="181"/>
      <c r="AL713" s="181"/>
      <c r="AM713" s="181"/>
      <c r="AN713" s="181"/>
      <c r="AO713" s="181"/>
      <c r="AP713" s="181"/>
      <c r="AQ713" s="181"/>
      <c r="AR713" s="181"/>
      <c r="AS713" s="181"/>
      <c r="AT713" s="181"/>
      <c r="AU713" s="181"/>
      <c r="AV713" s="181"/>
      <c r="AW713" s="181"/>
    </row>
    <row r="714" spans="1:49" ht="13.5" customHeight="1" x14ac:dyDescent="0.3">
      <c r="A714" s="1"/>
      <c r="B714" s="181"/>
      <c r="C714" s="181"/>
      <c r="D714" s="181"/>
      <c r="E714" s="182"/>
      <c r="F714" s="182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  <c r="AC714" s="181"/>
      <c r="AD714" s="181"/>
      <c r="AE714" s="181"/>
      <c r="AF714" s="181"/>
      <c r="AG714" s="181"/>
      <c r="AH714" s="181"/>
      <c r="AI714" s="181"/>
      <c r="AJ714" s="181"/>
      <c r="AK714" s="181"/>
      <c r="AL714" s="181"/>
      <c r="AM714" s="181"/>
      <c r="AN714" s="181"/>
      <c r="AO714" s="181"/>
      <c r="AP714" s="181"/>
      <c r="AQ714" s="181"/>
      <c r="AR714" s="181"/>
      <c r="AS714" s="181"/>
      <c r="AT714" s="181"/>
      <c r="AU714" s="181"/>
      <c r="AV714" s="181"/>
      <c r="AW714" s="181"/>
    </row>
    <row r="715" spans="1:49" ht="13.5" customHeight="1" x14ac:dyDescent="0.3">
      <c r="A715" s="1"/>
      <c r="B715" s="181"/>
      <c r="C715" s="181"/>
      <c r="D715" s="181"/>
      <c r="E715" s="182"/>
      <c r="F715" s="182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  <c r="AC715" s="181"/>
      <c r="AD715" s="181"/>
      <c r="AE715" s="181"/>
      <c r="AF715" s="181"/>
      <c r="AG715" s="181"/>
      <c r="AH715" s="181"/>
      <c r="AI715" s="181"/>
      <c r="AJ715" s="181"/>
      <c r="AK715" s="181"/>
      <c r="AL715" s="181"/>
      <c r="AM715" s="181"/>
      <c r="AN715" s="181"/>
      <c r="AO715" s="181"/>
      <c r="AP715" s="181"/>
      <c r="AQ715" s="181"/>
      <c r="AR715" s="181"/>
      <c r="AS715" s="181"/>
      <c r="AT715" s="181"/>
      <c r="AU715" s="181"/>
      <c r="AV715" s="181"/>
      <c r="AW715" s="181"/>
    </row>
    <row r="716" spans="1:49" ht="13.5" customHeight="1" x14ac:dyDescent="0.3">
      <c r="A716" s="1"/>
      <c r="B716" s="181"/>
      <c r="C716" s="181"/>
      <c r="D716" s="181"/>
      <c r="E716" s="182"/>
      <c r="F716" s="182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  <c r="AC716" s="181"/>
      <c r="AD716" s="181"/>
      <c r="AE716" s="181"/>
      <c r="AF716" s="181"/>
      <c r="AG716" s="181"/>
      <c r="AH716" s="181"/>
      <c r="AI716" s="181"/>
      <c r="AJ716" s="181"/>
      <c r="AK716" s="181"/>
      <c r="AL716" s="181"/>
      <c r="AM716" s="181"/>
      <c r="AN716" s="181"/>
      <c r="AO716" s="181"/>
      <c r="AP716" s="181"/>
      <c r="AQ716" s="181"/>
      <c r="AR716" s="181"/>
      <c r="AS716" s="181"/>
      <c r="AT716" s="181"/>
      <c r="AU716" s="181"/>
      <c r="AV716" s="181"/>
      <c r="AW716" s="181"/>
    </row>
    <row r="717" spans="1:49" ht="13.5" customHeight="1" x14ac:dyDescent="0.3">
      <c r="A717" s="1"/>
      <c r="B717" s="181"/>
      <c r="C717" s="181"/>
      <c r="D717" s="181"/>
      <c r="E717" s="182"/>
      <c r="F717" s="182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  <c r="AC717" s="181"/>
      <c r="AD717" s="181"/>
      <c r="AE717" s="181"/>
      <c r="AF717" s="181"/>
      <c r="AG717" s="181"/>
      <c r="AH717" s="181"/>
      <c r="AI717" s="181"/>
      <c r="AJ717" s="181"/>
      <c r="AK717" s="181"/>
      <c r="AL717" s="181"/>
      <c r="AM717" s="181"/>
      <c r="AN717" s="181"/>
      <c r="AO717" s="181"/>
      <c r="AP717" s="181"/>
      <c r="AQ717" s="181"/>
      <c r="AR717" s="181"/>
      <c r="AS717" s="181"/>
      <c r="AT717" s="181"/>
      <c r="AU717" s="181"/>
      <c r="AV717" s="181"/>
      <c r="AW717" s="181"/>
    </row>
    <row r="718" spans="1:49" ht="13.5" customHeight="1" x14ac:dyDescent="0.3">
      <c r="A718" s="1"/>
      <c r="B718" s="181"/>
      <c r="C718" s="181"/>
      <c r="D718" s="181"/>
      <c r="E718" s="182"/>
      <c r="F718" s="182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  <c r="AC718" s="181"/>
      <c r="AD718" s="181"/>
      <c r="AE718" s="181"/>
      <c r="AF718" s="181"/>
      <c r="AG718" s="181"/>
      <c r="AH718" s="181"/>
      <c r="AI718" s="181"/>
      <c r="AJ718" s="181"/>
      <c r="AK718" s="181"/>
      <c r="AL718" s="181"/>
      <c r="AM718" s="181"/>
      <c r="AN718" s="181"/>
      <c r="AO718" s="181"/>
      <c r="AP718" s="181"/>
      <c r="AQ718" s="181"/>
      <c r="AR718" s="181"/>
      <c r="AS718" s="181"/>
      <c r="AT718" s="181"/>
      <c r="AU718" s="181"/>
      <c r="AV718" s="181"/>
      <c r="AW718" s="181"/>
    </row>
    <row r="719" spans="1:49" ht="13.5" customHeight="1" x14ac:dyDescent="0.3">
      <c r="A719" s="1"/>
      <c r="B719" s="181"/>
      <c r="C719" s="181"/>
      <c r="D719" s="181"/>
      <c r="E719" s="182"/>
      <c r="F719" s="182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  <c r="AC719" s="181"/>
      <c r="AD719" s="181"/>
      <c r="AE719" s="181"/>
      <c r="AF719" s="181"/>
      <c r="AG719" s="181"/>
      <c r="AH719" s="181"/>
      <c r="AI719" s="181"/>
      <c r="AJ719" s="181"/>
      <c r="AK719" s="181"/>
      <c r="AL719" s="181"/>
      <c r="AM719" s="181"/>
      <c r="AN719" s="181"/>
      <c r="AO719" s="181"/>
      <c r="AP719" s="181"/>
      <c r="AQ719" s="181"/>
      <c r="AR719" s="181"/>
      <c r="AS719" s="181"/>
      <c r="AT719" s="181"/>
      <c r="AU719" s="181"/>
      <c r="AV719" s="181"/>
      <c r="AW719" s="181"/>
    </row>
    <row r="720" spans="1:49" ht="13.5" customHeight="1" x14ac:dyDescent="0.3">
      <c r="A720" s="1"/>
      <c r="B720" s="181"/>
      <c r="C720" s="181"/>
      <c r="D720" s="181"/>
      <c r="E720" s="182"/>
      <c r="F720" s="182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  <c r="AC720" s="181"/>
      <c r="AD720" s="181"/>
      <c r="AE720" s="181"/>
      <c r="AF720" s="181"/>
      <c r="AG720" s="181"/>
      <c r="AH720" s="181"/>
      <c r="AI720" s="181"/>
      <c r="AJ720" s="181"/>
      <c r="AK720" s="181"/>
      <c r="AL720" s="181"/>
      <c r="AM720" s="181"/>
      <c r="AN720" s="181"/>
      <c r="AO720" s="181"/>
      <c r="AP720" s="181"/>
      <c r="AQ720" s="181"/>
      <c r="AR720" s="181"/>
      <c r="AS720" s="181"/>
      <c r="AT720" s="181"/>
      <c r="AU720" s="181"/>
      <c r="AV720" s="181"/>
      <c r="AW720" s="181"/>
    </row>
    <row r="721" spans="1:49" ht="13.5" customHeight="1" x14ac:dyDescent="0.3">
      <c r="A721" s="1"/>
      <c r="B721" s="181"/>
      <c r="C721" s="181"/>
      <c r="D721" s="181"/>
      <c r="E721" s="182"/>
      <c r="F721" s="182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  <c r="AC721" s="181"/>
      <c r="AD721" s="181"/>
      <c r="AE721" s="181"/>
      <c r="AF721" s="181"/>
      <c r="AG721" s="181"/>
      <c r="AH721" s="181"/>
      <c r="AI721" s="181"/>
      <c r="AJ721" s="181"/>
      <c r="AK721" s="181"/>
      <c r="AL721" s="181"/>
      <c r="AM721" s="181"/>
      <c r="AN721" s="181"/>
      <c r="AO721" s="181"/>
      <c r="AP721" s="181"/>
      <c r="AQ721" s="181"/>
      <c r="AR721" s="181"/>
      <c r="AS721" s="181"/>
      <c r="AT721" s="181"/>
      <c r="AU721" s="181"/>
      <c r="AV721" s="181"/>
      <c r="AW721" s="181"/>
    </row>
    <row r="722" spans="1:49" ht="13.5" customHeight="1" x14ac:dyDescent="0.3">
      <c r="A722" s="1"/>
      <c r="B722" s="181"/>
      <c r="C722" s="181"/>
      <c r="D722" s="181"/>
      <c r="E722" s="182"/>
      <c r="F722" s="182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  <c r="AC722" s="181"/>
      <c r="AD722" s="181"/>
      <c r="AE722" s="181"/>
      <c r="AF722" s="181"/>
      <c r="AG722" s="181"/>
      <c r="AH722" s="181"/>
      <c r="AI722" s="181"/>
      <c r="AJ722" s="181"/>
      <c r="AK722" s="181"/>
      <c r="AL722" s="181"/>
      <c r="AM722" s="181"/>
      <c r="AN722" s="181"/>
      <c r="AO722" s="181"/>
      <c r="AP722" s="181"/>
      <c r="AQ722" s="181"/>
      <c r="AR722" s="181"/>
      <c r="AS722" s="181"/>
      <c r="AT722" s="181"/>
      <c r="AU722" s="181"/>
      <c r="AV722" s="181"/>
      <c r="AW722" s="181"/>
    </row>
    <row r="723" spans="1:49" ht="13.5" customHeight="1" x14ac:dyDescent="0.3">
      <c r="A723" s="1"/>
      <c r="B723" s="181"/>
      <c r="C723" s="181"/>
      <c r="D723" s="181"/>
      <c r="E723" s="182"/>
      <c r="F723" s="182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  <c r="AC723" s="181"/>
      <c r="AD723" s="181"/>
      <c r="AE723" s="181"/>
      <c r="AF723" s="181"/>
      <c r="AG723" s="181"/>
      <c r="AH723" s="181"/>
      <c r="AI723" s="181"/>
      <c r="AJ723" s="181"/>
      <c r="AK723" s="181"/>
      <c r="AL723" s="181"/>
      <c r="AM723" s="181"/>
      <c r="AN723" s="181"/>
      <c r="AO723" s="181"/>
      <c r="AP723" s="181"/>
      <c r="AQ723" s="181"/>
      <c r="AR723" s="181"/>
      <c r="AS723" s="181"/>
      <c r="AT723" s="181"/>
      <c r="AU723" s="181"/>
      <c r="AV723" s="181"/>
      <c r="AW723" s="181"/>
    </row>
    <row r="724" spans="1:49" ht="13.5" customHeight="1" x14ac:dyDescent="0.3">
      <c r="A724" s="1"/>
      <c r="B724" s="181"/>
      <c r="C724" s="181"/>
      <c r="D724" s="181"/>
      <c r="E724" s="182"/>
      <c r="F724" s="182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  <c r="AC724" s="181"/>
      <c r="AD724" s="181"/>
      <c r="AE724" s="181"/>
      <c r="AF724" s="181"/>
      <c r="AG724" s="181"/>
      <c r="AH724" s="181"/>
      <c r="AI724" s="181"/>
      <c r="AJ724" s="181"/>
      <c r="AK724" s="181"/>
      <c r="AL724" s="181"/>
      <c r="AM724" s="181"/>
      <c r="AN724" s="181"/>
      <c r="AO724" s="181"/>
      <c r="AP724" s="181"/>
      <c r="AQ724" s="181"/>
      <c r="AR724" s="181"/>
      <c r="AS724" s="181"/>
      <c r="AT724" s="181"/>
      <c r="AU724" s="181"/>
      <c r="AV724" s="181"/>
      <c r="AW724" s="181"/>
    </row>
    <row r="725" spans="1:49" ht="13.5" customHeight="1" x14ac:dyDescent="0.3">
      <c r="A725" s="1"/>
      <c r="B725" s="181"/>
      <c r="C725" s="181"/>
      <c r="D725" s="181"/>
      <c r="E725" s="182"/>
      <c r="F725" s="182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  <c r="AC725" s="181"/>
      <c r="AD725" s="181"/>
      <c r="AE725" s="181"/>
      <c r="AF725" s="181"/>
      <c r="AG725" s="181"/>
      <c r="AH725" s="181"/>
      <c r="AI725" s="181"/>
      <c r="AJ725" s="181"/>
      <c r="AK725" s="181"/>
      <c r="AL725" s="181"/>
      <c r="AM725" s="181"/>
      <c r="AN725" s="181"/>
      <c r="AO725" s="181"/>
      <c r="AP725" s="181"/>
      <c r="AQ725" s="181"/>
      <c r="AR725" s="181"/>
      <c r="AS725" s="181"/>
      <c r="AT725" s="181"/>
      <c r="AU725" s="181"/>
      <c r="AV725" s="181"/>
      <c r="AW725" s="181"/>
    </row>
    <row r="726" spans="1:49" ht="13.5" customHeight="1" x14ac:dyDescent="0.3">
      <c r="A726" s="1"/>
      <c r="B726" s="181"/>
      <c r="C726" s="181"/>
      <c r="D726" s="181"/>
      <c r="E726" s="182"/>
      <c r="F726" s="182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  <c r="AC726" s="181"/>
      <c r="AD726" s="181"/>
      <c r="AE726" s="181"/>
      <c r="AF726" s="181"/>
      <c r="AG726" s="181"/>
      <c r="AH726" s="181"/>
      <c r="AI726" s="181"/>
      <c r="AJ726" s="181"/>
      <c r="AK726" s="181"/>
      <c r="AL726" s="181"/>
      <c r="AM726" s="181"/>
      <c r="AN726" s="181"/>
      <c r="AO726" s="181"/>
      <c r="AP726" s="181"/>
      <c r="AQ726" s="181"/>
      <c r="AR726" s="181"/>
      <c r="AS726" s="181"/>
      <c r="AT726" s="181"/>
      <c r="AU726" s="181"/>
      <c r="AV726" s="181"/>
      <c r="AW726" s="181"/>
    </row>
    <row r="727" spans="1:49" ht="13.5" customHeight="1" x14ac:dyDescent="0.3">
      <c r="A727" s="1"/>
      <c r="B727" s="181"/>
      <c r="C727" s="181"/>
      <c r="D727" s="181"/>
      <c r="E727" s="182"/>
      <c r="F727" s="182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  <c r="AC727" s="181"/>
      <c r="AD727" s="181"/>
      <c r="AE727" s="181"/>
      <c r="AF727" s="181"/>
      <c r="AG727" s="181"/>
      <c r="AH727" s="181"/>
      <c r="AI727" s="181"/>
      <c r="AJ727" s="181"/>
      <c r="AK727" s="181"/>
      <c r="AL727" s="181"/>
      <c r="AM727" s="181"/>
      <c r="AN727" s="181"/>
      <c r="AO727" s="181"/>
      <c r="AP727" s="181"/>
      <c r="AQ727" s="181"/>
      <c r="AR727" s="181"/>
      <c r="AS727" s="181"/>
      <c r="AT727" s="181"/>
      <c r="AU727" s="181"/>
      <c r="AV727" s="181"/>
      <c r="AW727" s="181"/>
    </row>
    <row r="728" spans="1:49" ht="13.5" customHeight="1" x14ac:dyDescent="0.3">
      <c r="A728" s="1"/>
      <c r="B728" s="181"/>
      <c r="C728" s="181"/>
      <c r="D728" s="181"/>
      <c r="E728" s="182"/>
      <c r="F728" s="182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  <c r="AC728" s="181"/>
      <c r="AD728" s="181"/>
      <c r="AE728" s="181"/>
      <c r="AF728" s="181"/>
      <c r="AG728" s="181"/>
      <c r="AH728" s="181"/>
      <c r="AI728" s="181"/>
      <c r="AJ728" s="181"/>
      <c r="AK728" s="181"/>
      <c r="AL728" s="181"/>
      <c r="AM728" s="181"/>
      <c r="AN728" s="181"/>
      <c r="AO728" s="181"/>
      <c r="AP728" s="181"/>
      <c r="AQ728" s="181"/>
      <c r="AR728" s="181"/>
      <c r="AS728" s="181"/>
      <c r="AT728" s="181"/>
      <c r="AU728" s="181"/>
      <c r="AV728" s="181"/>
      <c r="AW728" s="181"/>
    </row>
    <row r="729" spans="1:49" ht="13.5" customHeight="1" x14ac:dyDescent="0.3">
      <c r="A729" s="1"/>
      <c r="B729" s="181"/>
      <c r="C729" s="181"/>
      <c r="D729" s="181"/>
      <c r="E729" s="182"/>
      <c r="F729" s="182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  <c r="AC729" s="181"/>
      <c r="AD729" s="181"/>
      <c r="AE729" s="181"/>
      <c r="AF729" s="181"/>
      <c r="AG729" s="181"/>
      <c r="AH729" s="181"/>
      <c r="AI729" s="181"/>
      <c r="AJ729" s="181"/>
      <c r="AK729" s="181"/>
      <c r="AL729" s="181"/>
      <c r="AM729" s="181"/>
      <c r="AN729" s="181"/>
      <c r="AO729" s="181"/>
      <c r="AP729" s="181"/>
      <c r="AQ729" s="181"/>
      <c r="AR729" s="181"/>
      <c r="AS729" s="181"/>
      <c r="AT729" s="181"/>
      <c r="AU729" s="181"/>
      <c r="AV729" s="181"/>
      <c r="AW729" s="181"/>
    </row>
    <row r="730" spans="1:49" ht="13.5" customHeight="1" x14ac:dyDescent="0.3">
      <c r="A730" s="1"/>
      <c r="B730" s="181"/>
      <c r="C730" s="181"/>
      <c r="D730" s="181"/>
      <c r="E730" s="182"/>
      <c r="F730" s="182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  <c r="AC730" s="181"/>
      <c r="AD730" s="181"/>
      <c r="AE730" s="181"/>
      <c r="AF730" s="181"/>
      <c r="AG730" s="181"/>
      <c r="AH730" s="181"/>
      <c r="AI730" s="181"/>
      <c r="AJ730" s="181"/>
      <c r="AK730" s="181"/>
      <c r="AL730" s="181"/>
      <c r="AM730" s="181"/>
      <c r="AN730" s="181"/>
      <c r="AO730" s="181"/>
      <c r="AP730" s="181"/>
      <c r="AQ730" s="181"/>
      <c r="AR730" s="181"/>
      <c r="AS730" s="181"/>
      <c r="AT730" s="181"/>
      <c r="AU730" s="181"/>
      <c r="AV730" s="181"/>
      <c r="AW730" s="181"/>
    </row>
    <row r="731" spans="1:49" ht="13.5" customHeight="1" x14ac:dyDescent="0.3">
      <c r="A731" s="1"/>
      <c r="B731" s="181"/>
      <c r="C731" s="181"/>
      <c r="D731" s="181"/>
      <c r="E731" s="182"/>
      <c r="F731" s="182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  <c r="AC731" s="181"/>
      <c r="AD731" s="181"/>
      <c r="AE731" s="181"/>
      <c r="AF731" s="181"/>
      <c r="AG731" s="181"/>
      <c r="AH731" s="181"/>
      <c r="AI731" s="181"/>
      <c r="AJ731" s="181"/>
      <c r="AK731" s="181"/>
      <c r="AL731" s="181"/>
      <c r="AM731" s="181"/>
      <c r="AN731" s="181"/>
      <c r="AO731" s="181"/>
      <c r="AP731" s="181"/>
      <c r="AQ731" s="181"/>
      <c r="AR731" s="181"/>
      <c r="AS731" s="181"/>
      <c r="AT731" s="181"/>
      <c r="AU731" s="181"/>
      <c r="AV731" s="181"/>
      <c r="AW731" s="181"/>
    </row>
    <row r="732" spans="1:49" ht="13.5" customHeight="1" x14ac:dyDescent="0.3">
      <c r="A732" s="1"/>
      <c r="B732" s="181"/>
      <c r="C732" s="181"/>
      <c r="D732" s="181"/>
      <c r="E732" s="182"/>
      <c r="F732" s="182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  <c r="AC732" s="181"/>
      <c r="AD732" s="181"/>
      <c r="AE732" s="181"/>
      <c r="AF732" s="181"/>
      <c r="AG732" s="181"/>
      <c r="AH732" s="181"/>
      <c r="AI732" s="181"/>
      <c r="AJ732" s="181"/>
      <c r="AK732" s="181"/>
      <c r="AL732" s="181"/>
      <c r="AM732" s="181"/>
      <c r="AN732" s="181"/>
      <c r="AO732" s="181"/>
      <c r="AP732" s="181"/>
      <c r="AQ732" s="181"/>
      <c r="AR732" s="181"/>
      <c r="AS732" s="181"/>
      <c r="AT732" s="181"/>
      <c r="AU732" s="181"/>
      <c r="AV732" s="181"/>
      <c r="AW732" s="181"/>
    </row>
    <row r="733" spans="1:49" ht="13.5" customHeight="1" x14ac:dyDescent="0.3">
      <c r="A733" s="1"/>
      <c r="B733" s="181"/>
      <c r="C733" s="181"/>
      <c r="D733" s="181"/>
      <c r="E733" s="182"/>
      <c r="F733" s="182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  <c r="AC733" s="181"/>
      <c r="AD733" s="181"/>
      <c r="AE733" s="181"/>
      <c r="AF733" s="181"/>
      <c r="AG733" s="181"/>
      <c r="AH733" s="181"/>
      <c r="AI733" s="181"/>
      <c r="AJ733" s="181"/>
      <c r="AK733" s="181"/>
      <c r="AL733" s="181"/>
      <c r="AM733" s="181"/>
      <c r="AN733" s="181"/>
      <c r="AO733" s="181"/>
      <c r="AP733" s="181"/>
      <c r="AQ733" s="181"/>
      <c r="AR733" s="181"/>
      <c r="AS733" s="181"/>
      <c r="AT733" s="181"/>
      <c r="AU733" s="181"/>
      <c r="AV733" s="181"/>
      <c r="AW733" s="181"/>
    </row>
    <row r="734" spans="1:49" ht="13.5" customHeight="1" x14ac:dyDescent="0.3">
      <c r="A734" s="1"/>
      <c r="B734" s="181"/>
      <c r="C734" s="181"/>
      <c r="D734" s="181"/>
      <c r="E734" s="182"/>
      <c r="F734" s="182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  <c r="AC734" s="181"/>
      <c r="AD734" s="181"/>
      <c r="AE734" s="181"/>
      <c r="AF734" s="181"/>
      <c r="AG734" s="181"/>
      <c r="AH734" s="181"/>
      <c r="AI734" s="181"/>
      <c r="AJ734" s="181"/>
      <c r="AK734" s="181"/>
      <c r="AL734" s="181"/>
      <c r="AM734" s="181"/>
      <c r="AN734" s="181"/>
      <c r="AO734" s="181"/>
      <c r="AP734" s="181"/>
      <c r="AQ734" s="181"/>
      <c r="AR734" s="181"/>
      <c r="AS734" s="181"/>
      <c r="AT734" s="181"/>
      <c r="AU734" s="181"/>
      <c r="AV734" s="181"/>
      <c r="AW734" s="181"/>
    </row>
    <row r="735" spans="1:49" ht="13.5" customHeight="1" x14ac:dyDescent="0.3">
      <c r="A735" s="1"/>
      <c r="B735" s="181"/>
      <c r="C735" s="181"/>
      <c r="D735" s="181"/>
      <c r="E735" s="182"/>
      <c r="F735" s="182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  <c r="AC735" s="181"/>
      <c r="AD735" s="181"/>
      <c r="AE735" s="181"/>
      <c r="AF735" s="181"/>
      <c r="AG735" s="181"/>
      <c r="AH735" s="181"/>
      <c r="AI735" s="181"/>
      <c r="AJ735" s="181"/>
      <c r="AK735" s="181"/>
      <c r="AL735" s="181"/>
      <c r="AM735" s="181"/>
      <c r="AN735" s="181"/>
      <c r="AO735" s="181"/>
      <c r="AP735" s="181"/>
      <c r="AQ735" s="181"/>
      <c r="AR735" s="181"/>
      <c r="AS735" s="181"/>
      <c r="AT735" s="181"/>
      <c r="AU735" s="181"/>
      <c r="AV735" s="181"/>
      <c r="AW735" s="181"/>
    </row>
    <row r="736" spans="1:49" ht="13.5" customHeight="1" x14ac:dyDescent="0.3">
      <c r="A736" s="1"/>
      <c r="B736" s="181"/>
      <c r="C736" s="181"/>
      <c r="D736" s="181"/>
      <c r="E736" s="182"/>
      <c r="F736" s="182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  <c r="AC736" s="181"/>
      <c r="AD736" s="181"/>
      <c r="AE736" s="181"/>
      <c r="AF736" s="181"/>
      <c r="AG736" s="181"/>
      <c r="AH736" s="181"/>
      <c r="AI736" s="181"/>
      <c r="AJ736" s="181"/>
      <c r="AK736" s="181"/>
      <c r="AL736" s="181"/>
      <c r="AM736" s="181"/>
      <c r="AN736" s="181"/>
      <c r="AO736" s="181"/>
      <c r="AP736" s="181"/>
      <c r="AQ736" s="181"/>
      <c r="AR736" s="181"/>
      <c r="AS736" s="181"/>
      <c r="AT736" s="181"/>
      <c r="AU736" s="181"/>
      <c r="AV736" s="181"/>
      <c r="AW736" s="181"/>
    </row>
    <row r="737" spans="1:49" ht="13.5" customHeight="1" x14ac:dyDescent="0.3">
      <c r="A737" s="1"/>
      <c r="B737" s="181"/>
      <c r="C737" s="181"/>
      <c r="D737" s="181"/>
      <c r="E737" s="182"/>
      <c r="F737" s="182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  <c r="AC737" s="181"/>
      <c r="AD737" s="181"/>
      <c r="AE737" s="181"/>
      <c r="AF737" s="181"/>
      <c r="AG737" s="181"/>
      <c r="AH737" s="181"/>
      <c r="AI737" s="181"/>
      <c r="AJ737" s="181"/>
      <c r="AK737" s="181"/>
      <c r="AL737" s="181"/>
      <c r="AM737" s="181"/>
      <c r="AN737" s="181"/>
      <c r="AO737" s="181"/>
      <c r="AP737" s="181"/>
      <c r="AQ737" s="181"/>
      <c r="AR737" s="181"/>
      <c r="AS737" s="181"/>
      <c r="AT737" s="181"/>
      <c r="AU737" s="181"/>
      <c r="AV737" s="181"/>
      <c r="AW737" s="181"/>
    </row>
    <row r="738" spans="1:49" ht="13.5" customHeight="1" x14ac:dyDescent="0.3">
      <c r="A738" s="1"/>
      <c r="B738" s="181"/>
      <c r="C738" s="181"/>
      <c r="D738" s="181"/>
      <c r="E738" s="182"/>
      <c r="F738" s="182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  <c r="AC738" s="181"/>
      <c r="AD738" s="181"/>
      <c r="AE738" s="181"/>
      <c r="AF738" s="181"/>
      <c r="AG738" s="181"/>
      <c r="AH738" s="181"/>
      <c r="AI738" s="181"/>
      <c r="AJ738" s="181"/>
      <c r="AK738" s="181"/>
      <c r="AL738" s="181"/>
      <c r="AM738" s="181"/>
      <c r="AN738" s="181"/>
      <c r="AO738" s="181"/>
      <c r="AP738" s="181"/>
      <c r="AQ738" s="181"/>
      <c r="AR738" s="181"/>
      <c r="AS738" s="181"/>
      <c r="AT738" s="181"/>
      <c r="AU738" s="181"/>
      <c r="AV738" s="181"/>
      <c r="AW738" s="181"/>
    </row>
    <row r="739" spans="1:49" ht="13.5" customHeight="1" x14ac:dyDescent="0.3">
      <c r="A739" s="1"/>
      <c r="B739" s="181"/>
      <c r="C739" s="181"/>
      <c r="D739" s="181"/>
      <c r="E739" s="182"/>
      <c r="F739" s="182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  <c r="AC739" s="181"/>
      <c r="AD739" s="181"/>
      <c r="AE739" s="181"/>
      <c r="AF739" s="181"/>
      <c r="AG739" s="181"/>
      <c r="AH739" s="181"/>
      <c r="AI739" s="181"/>
      <c r="AJ739" s="181"/>
      <c r="AK739" s="181"/>
      <c r="AL739" s="181"/>
      <c r="AM739" s="181"/>
      <c r="AN739" s="181"/>
      <c r="AO739" s="181"/>
      <c r="AP739" s="181"/>
      <c r="AQ739" s="181"/>
      <c r="AR739" s="181"/>
      <c r="AS739" s="181"/>
      <c r="AT739" s="181"/>
      <c r="AU739" s="181"/>
      <c r="AV739" s="181"/>
      <c r="AW739" s="181"/>
    </row>
    <row r="740" spans="1:49" ht="13.5" customHeight="1" x14ac:dyDescent="0.3">
      <c r="A740" s="1"/>
      <c r="B740" s="181"/>
      <c r="C740" s="181"/>
      <c r="D740" s="181"/>
      <c r="E740" s="182"/>
      <c r="F740" s="182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  <c r="AC740" s="181"/>
      <c r="AD740" s="181"/>
      <c r="AE740" s="181"/>
      <c r="AF740" s="181"/>
      <c r="AG740" s="181"/>
      <c r="AH740" s="181"/>
      <c r="AI740" s="181"/>
      <c r="AJ740" s="181"/>
      <c r="AK740" s="181"/>
      <c r="AL740" s="181"/>
      <c r="AM740" s="181"/>
      <c r="AN740" s="181"/>
      <c r="AO740" s="181"/>
      <c r="AP740" s="181"/>
      <c r="AQ740" s="181"/>
      <c r="AR740" s="181"/>
      <c r="AS740" s="181"/>
      <c r="AT740" s="181"/>
      <c r="AU740" s="181"/>
      <c r="AV740" s="181"/>
      <c r="AW740" s="181"/>
    </row>
    <row r="741" spans="1:49" ht="13.5" customHeight="1" x14ac:dyDescent="0.3">
      <c r="A741" s="1"/>
      <c r="B741" s="181"/>
      <c r="C741" s="181"/>
      <c r="D741" s="181"/>
      <c r="E741" s="182"/>
      <c r="F741" s="182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  <c r="AC741" s="181"/>
      <c r="AD741" s="181"/>
      <c r="AE741" s="181"/>
      <c r="AF741" s="181"/>
      <c r="AG741" s="181"/>
      <c r="AH741" s="181"/>
      <c r="AI741" s="181"/>
      <c r="AJ741" s="181"/>
      <c r="AK741" s="181"/>
      <c r="AL741" s="181"/>
      <c r="AM741" s="181"/>
      <c r="AN741" s="181"/>
      <c r="AO741" s="181"/>
      <c r="AP741" s="181"/>
      <c r="AQ741" s="181"/>
      <c r="AR741" s="181"/>
      <c r="AS741" s="181"/>
      <c r="AT741" s="181"/>
      <c r="AU741" s="181"/>
      <c r="AV741" s="181"/>
      <c r="AW741" s="181"/>
    </row>
    <row r="742" spans="1:49" ht="13.5" customHeight="1" x14ac:dyDescent="0.3">
      <c r="A742" s="1"/>
      <c r="B742" s="181"/>
      <c r="C742" s="181"/>
      <c r="D742" s="181"/>
      <c r="E742" s="182"/>
      <c r="F742" s="182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  <c r="AC742" s="181"/>
      <c r="AD742" s="181"/>
      <c r="AE742" s="181"/>
      <c r="AF742" s="181"/>
      <c r="AG742" s="181"/>
      <c r="AH742" s="181"/>
      <c r="AI742" s="181"/>
      <c r="AJ742" s="181"/>
      <c r="AK742" s="181"/>
      <c r="AL742" s="181"/>
      <c r="AM742" s="181"/>
      <c r="AN742" s="181"/>
      <c r="AO742" s="181"/>
      <c r="AP742" s="181"/>
      <c r="AQ742" s="181"/>
      <c r="AR742" s="181"/>
      <c r="AS742" s="181"/>
      <c r="AT742" s="181"/>
      <c r="AU742" s="181"/>
      <c r="AV742" s="181"/>
      <c r="AW742" s="181"/>
    </row>
    <row r="743" spans="1:49" ht="13.5" customHeight="1" x14ac:dyDescent="0.3">
      <c r="A743" s="1"/>
      <c r="B743" s="181"/>
      <c r="C743" s="181"/>
      <c r="D743" s="181"/>
      <c r="E743" s="182"/>
      <c r="F743" s="182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  <c r="AC743" s="181"/>
      <c r="AD743" s="181"/>
      <c r="AE743" s="181"/>
      <c r="AF743" s="181"/>
      <c r="AG743" s="181"/>
      <c r="AH743" s="181"/>
      <c r="AI743" s="181"/>
      <c r="AJ743" s="181"/>
      <c r="AK743" s="181"/>
      <c r="AL743" s="181"/>
      <c r="AM743" s="181"/>
      <c r="AN743" s="181"/>
      <c r="AO743" s="181"/>
      <c r="AP743" s="181"/>
      <c r="AQ743" s="181"/>
      <c r="AR743" s="181"/>
      <c r="AS743" s="181"/>
      <c r="AT743" s="181"/>
      <c r="AU743" s="181"/>
      <c r="AV743" s="181"/>
      <c r="AW743" s="181"/>
    </row>
    <row r="744" spans="1:49" ht="13.5" customHeight="1" x14ac:dyDescent="0.3">
      <c r="A744" s="1"/>
      <c r="B744" s="181"/>
      <c r="C744" s="181"/>
      <c r="D744" s="181"/>
      <c r="E744" s="182"/>
      <c r="F744" s="182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  <c r="AC744" s="181"/>
      <c r="AD744" s="181"/>
      <c r="AE744" s="181"/>
      <c r="AF744" s="181"/>
      <c r="AG744" s="181"/>
      <c r="AH744" s="181"/>
      <c r="AI744" s="181"/>
      <c r="AJ744" s="181"/>
      <c r="AK744" s="181"/>
      <c r="AL744" s="181"/>
      <c r="AM744" s="181"/>
      <c r="AN744" s="181"/>
      <c r="AO744" s="181"/>
      <c r="AP744" s="181"/>
      <c r="AQ744" s="181"/>
      <c r="AR744" s="181"/>
      <c r="AS744" s="181"/>
      <c r="AT744" s="181"/>
      <c r="AU744" s="181"/>
      <c r="AV744" s="181"/>
      <c r="AW744" s="181"/>
    </row>
    <row r="745" spans="1:49" ht="13.5" customHeight="1" x14ac:dyDescent="0.3">
      <c r="A745" s="1"/>
      <c r="B745" s="181"/>
      <c r="C745" s="181"/>
      <c r="D745" s="181"/>
      <c r="E745" s="182"/>
      <c r="F745" s="182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  <c r="AC745" s="181"/>
      <c r="AD745" s="181"/>
      <c r="AE745" s="181"/>
      <c r="AF745" s="181"/>
      <c r="AG745" s="181"/>
      <c r="AH745" s="181"/>
      <c r="AI745" s="181"/>
      <c r="AJ745" s="181"/>
      <c r="AK745" s="181"/>
      <c r="AL745" s="181"/>
      <c r="AM745" s="181"/>
      <c r="AN745" s="181"/>
      <c r="AO745" s="181"/>
      <c r="AP745" s="181"/>
      <c r="AQ745" s="181"/>
      <c r="AR745" s="181"/>
      <c r="AS745" s="181"/>
      <c r="AT745" s="181"/>
      <c r="AU745" s="181"/>
      <c r="AV745" s="181"/>
      <c r="AW745" s="181"/>
    </row>
    <row r="746" spans="1:49" ht="13.5" customHeight="1" x14ac:dyDescent="0.3">
      <c r="A746" s="1"/>
      <c r="B746" s="181"/>
      <c r="C746" s="181"/>
      <c r="D746" s="181"/>
      <c r="E746" s="182"/>
      <c r="F746" s="182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  <c r="AC746" s="181"/>
      <c r="AD746" s="181"/>
      <c r="AE746" s="181"/>
      <c r="AF746" s="181"/>
      <c r="AG746" s="181"/>
      <c r="AH746" s="181"/>
      <c r="AI746" s="181"/>
      <c r="AJ746" s="181"/>
      <c r="AK746" s="181"/>
      <c r="AL746" s="181"/>
      <c r="AM746" s="181"/>
      <c r="AN746" s="181"/>
      <c r="AO746" s="181"/>
      <c r="AP746" s="181"/>
      <c r="AQ746" s="181"/>
      <c r="AR746" s="181"/>
      <c r="AS746" s="181"/>
      <c r="AT746" s="181"/>
      <c r="AU746" s="181"/>
      <c r="AV746" s="181"/>
      <c r="AW746" s="181"/>
    </row>
    <row r="747" spans="1:49" ht="13.5" customHeight="1" x14ac:dyDescent="0.3">
      <c r="A747" s="1"/>
      <c r="B747" s="181"/>
      <c r="C747" s="181"/>
      <c r="D747" s="181"/>
      <c r="E747" s="182"/>
      <c r="F747" s="182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  <c r="AC747" s="181"/>
      <c r="AD747" s="181"/>
      <c r="AE747" s="181"/>
      <c r="AF747" s="181"/>
      <c r="AG747" s="181"/>
      <c r="AH747" s="181"/>
      <c r="AI747" s="181"/>
      <c r="AJ747" s="181"/>
      <c r="AK747" s="181"/>
      <c r="AL747" s="181"/>
      <c r="AM747" s="181"/>
      <c r="AN747" s="181"/>
      <c r="AO747" s="181"/>
      <c r="AP747" s="181"/>
      <c r="AQ747" s="181"/>
      <c r="AR747" s="181"/>
      <c r="AS747" s="181"/>
      <c r="AT747" s="181"/>
      <c r="AU747" s="181"/>
      <c r="AV747" s="181"/>
      <c r="AW747" s="181"/>
    </row>
    <row r="748" spans="1:49" ht="13.5" customHeight="1" x14ac:dyDescent="0.3">
      <c r="A748" s="1"/>
      <c r="B748" s="181"/>
      <c r="C748" s="181"/>
      <c r="D748" s="181"/>
      <c r="E748" s="182"/>
      <c r="F748" s="182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  <c r="AC748" s="181"/>
      <c r="AD748" s="181"/>
      <c r="AE748" s="181"/>
      <c r="AF748" s="181"/>
      <c r="AG748" s="181"/>
      <c r="AH748" s="181"/>
      <c r="AI748" s="181"/>
      <c r="AJ748" s="181"/>
      <c r="AK748" s="181"/>
      <c r="AL748" s="181"/>
      <c r="AM748" s="181"/>
      <c r="AN748" s="181"/>
      <c r="AO748" s="181"/>
      <c r="AP748" s="181"/>
      <c r="AQ748" s="181"/>
      <c r="AR748" s="181"/>
      <c r="AS748" s="181"/>
      <c r="AT748" s="181"/>
      <c r="AU748" s="181"/>
      <c r="AV748" s="181"/>
      <c r="AW748" s="181"/>
    </row>
    <row r="749" spans="1:49" ht="13.5" customHeight="1" x14ac:dyDescent="0.3">
      <c r="A749" s="1"/>
      <c r="B749" s="181"/>
      <c r="C749" s="181"/>
      <c r="D749" s="181"/>
      <c r="E749" s="182"/>
      <c r="F749" s="182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  <c r="AC749" s="181"/>
      <c r="AD749" s="181"/>
      <c r="AE749" s="181"/>
      <c r="AF749" s="181"/>
      <c r="AG749" s="181"/>
      <c r="AH749" s="181"/>
      <c r="AI749" s="181"/>
      <c r="AJ749" s="181"/>
      <c r="AK749" s="181"/>
      <c r="AL749" s="181"/>
      <c r="AM749" s="181"/>
      <c r="AN749" s="181"/>
      <c r="AO749" s="181"/>
      <c r="AP749" s="181"/>
      <c r="AQ749" s="181"/>
      <c r="AR749" s="181"/>
      <c r="AS749" s="181"/>
      <c r="AT749" s="181"/>
      <c r="AU749" s="181"/>
      <c r="AV749" s="181"/>
      <c r="AW749" s="181"/>
    </row>
    <row r="750" spans="1:49" ht="13.5" customHeight="1" x14ac:dyDescent="0.3">
      <c r="A750" s="1"/>
      <c r="B750" s="181"/>
      <c r="C750" s="181"/>
      <c r="D750" s="181"/>
      <c r="E750" s="182"/>
      <c r="F750" s="182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  <c r="AC750" s="181"/>
      <c r="AD750" s="181"/>
      <c r="AE750" s="181"/>
      <c r="AF750" s="181"/>
      <c r="AG750" s="181"/>
      <c r="AH750" s="181"/>
      <c r="AI750" s="181"/>
      <c r="AJ750" s="181"/>
      <c r="AK750" s="181"/>
      <c r="AL750" s="181"/>
      <c r="AM750" s="181"/>
      <c r="AN750" s="181"/>
      <c r="AO750" s="181"/>
      <c r="AP750" s="181"/>
      <c r="AQ750" s="181"/>
      <c r="AR750" s="181"/>
      <c r="AS750" s="181"/>
      <c r="AT750" s="181"/>
      <c r="AU750" s="181"/>
      <c r="AV750" s="181"/>
      <c r="AW750" s="181"/>
    </row>
    <row r="751" spans="1:49" ht="13.5" customHeight="1" x14ac:dyDescent="0.3">
      <c r="A751" s="1"/>
      <c r="B751" s="181"/>
      <c r="C751" s="181"/>
      <c r="D751" s="181"/>
      <c r="E751" s="182"/>
      <c r="F751" s="182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  <c r="AC751" s="181"/>
      <c r="AD751" s="181"/>
      <c r="AE751" s="181"/>
      <c r="AF751" s="181"/>
      <c r="AG751" s="181"/>
      <c r="AH751" s="181"/>
      <c r="AI751" s="181"/>
      <c r="AJ751" s="181"/>
      <c r="AK751" s="181"/>
      <c r="AL751" s="181"/>
      <c r="AM751" s="181"/>
      <c r="AN751" s="181"/>
      <c r="AO751" s="181"/>
      <c r="AP751" s="181"/>
      <c r="AQ751" s="181"/>
      <c r="AR751" s="181"/>
      <c r="AS751" s="181"/>
      <c r="AT751" s="181"/>
      <c r="AU751" s="181"/>
      <c r="AV751" s="181"/>
      <c r="AW751" s="181"/>
    </row>
    <row r="752" spans="1:49" ht="13.5" customHeight="1" x14ac:dyDescent="0.3">
      <c r="A752" s="1"/>
      <c r="B752" s="181"/>
      <c r="C752" s="181"/>
      <c r="D752" s="181"/>
      <c r="E752" s="182"/>
      <c r="F752" s="182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  <c r="AC752" s="181"/>
      <c r="AD752" s="181"/>
      <c r="AE752" s="181"/>
      <c r="AF752" s="181"/>
      <c r="AG752" s="181"/>
      <c r="AH752" s="181"/>
      <c r="AI752" s="181"/>
      <c r="AJ752" s="181"/>
      <c r="AK752" s="181"/>
      <c r="AL752" s="181"/>
      <c r="AM752" s="181"/>
      <c r="AN752" s="181"/>
      <c r="AO752" s="181"/>
      <c r="AP752" s="181"/>
      <c r="AQ752" s="181"/>
      <c r="AR752" s="181"/>
      <c r="AS752" s="181"/>
      <c r="AT752" s="181"/>
      <c r="AU752" s="181"/>
      <c r="AV752" s="181"/>
      <c r="AW752" s="181"/>
    </row>
    <row r="753" spans="1:49" ht="13.5" customHeight="1" x14ac:dyDescent="0.3">
      <c r="A753" s="1"/>
      <c r="B753" s="181"/>
      <c r="C753" s="181"/>
      <c r="D753" s="181"/>
      <c r="E753" s="182"/>
      <c r="F753" s="182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  <c r="AC753" s="181"/>
      <c r="AD753" s="181"/>
      <c r="AE753" s="181"/>
      <c r="AF753" s="181"/>
      <c r="AG753" s="181"/>
      <c r="AH753" s="181"/>
      <c r="AI753" s="181"/>
      <c r="AJ753" s="181"/>
      <c r="AK753" s="181"/>
      <c r="AL753" s="181"/>
      <c r="AM753" s="181"/>
      <c r="AN753" s="181"/>
      <c r="AO753" s="181"/>
      <c r="AP753" s="181"/>
      <c r="AQ753" s="181"/>
      <c r="AR753" s="181"/>
      <c r="AS753" s="181"/>
      <c r="AT753" s="181"/>
      <c r="AU753" s="181"/>
      <c r="AV753" s="181"/>
      <c r="AW753" s="181"/>
    </row>
    <row r="754" spans="1:49" ht="13.5" customHeight="1" x14ac:dyDescent="0.3">
      <c r="A754" s="1"/>
      <c r="B754" s="181"/>
      <c r="C754" s="181"/>
      <c r="D754" s="181"/>
      <c r="E754" s="182"/>
      <c r="F754" s="182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  <c r="AC754" s="181"/>
      <c r="AD754" s="181"/>
      <c r="AE754" s="181"/>
      <c r="AF754" s="181"/>
      <c r="AG754" s="181"/>
      <c r="AH754" s="181"/>
      <c r="AI754" s="181"/>
      <c r="AJ754" s="181"/>
      <c r="AK754" s="181"/>
      <c r="AL754" s="181"/>
      <c r="AM754" s="181"/>
      <c r="AN754" s="181"/>
      <c r="AO754" s="181"/>
      <c r="AP754" s="181"/>
      <c r="AQ754" s="181"/>
      <c r="AR754" s="181"/>
      <c r="AS754" s="181"/>
      <c r="AT754" s="181"/>
      <c r="AU754" s="181"/>
      <c r="AV754" s="181"/>
      <c r="AW754" s="181"/>
    </row>
    <row r="755" spans="1:49" ht="13.5" customHeight="1" x14ac:dyDescent="0.3">
      <c r="A755" s="1"/>
      <c r="B755" s="181"/>
      <c r="C755" s="181"/>
      <c r="D755" s="181"/>
      <c r="E755" s="182"/>
      <c r="F755" s="182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  <c r="AC755" s="181"/>
      <c r="AD755" s="181"/>
      <c r="AE755" s="181"/>
      <c r="AF755" s="181"/>
      <c r="AG755" s="181"/>
      <c r="AH755" s="181"/>
      <c r="AI755" s="181"/>
      <c r="AJ755" s="181"/>
      <c r="AK755" s="181"/>
      <c r="AL755" s="181"/>
      <c r="AM755" s="181"/>
      <c r="AN755" s="181"/>
      <c r="AO755" s="181"/>
      <c r="AP755" s="181"/>
      <c r="AQ755" s="181"/>
      <c r="AR755" s="181"/>
      <c r="AS755" s="181"/>
      <c r="AT755" s="181"/>
      <c r="AU755" s="181"/>
      <c r="AV755" s="181"/>
      <c r="AW755" s="181"/>
    </row>
    <row r="756" spans="1:49" ht="13.5" customHeight="1" x14ac:dyDescent="0.3">
      <c r="A756" s="1"/>
      <c r="B756" s="181"/>
      <c r="C756" s="181"/>
      <c r="D756" s="181"/>
      <c r="E756" s="182"/>
      <c r="F756" s="182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  <c r="AC756" s="181"/>
      <c r="AD756" s="181"/>
      <c r="AE756" s="181"/>
      <c r="AF756" s="181"/>
      <c r="AG756" s="181"/>
      <c r="AH756" s="181"/>
      <c r="AI756" s="181"/>
      <c r="AJ756" s="181"/>
      <c r="AK756" s="181"/>
      <c r="AL756" s="181"/>
      <c r="AM756" s="181"/>
      <c r="AN756" s="181"/>
      <c r="AO756" s="181"/>
      <c r="AP756" s="181"/>
      <c r="AQ756" s="181"/>
      <c r="AR756" s="181"/>
      <c r="AS756" s="181"/>
      <c r="AT756" s="181"/>
      <c r="AU756" s="181"/>
      <c r="AV756" s="181"/>
      <c r="AW756" s="181"/>
    </row>
    <row r="757" spans="1:49" ht="13.5" customHeight="1" x14ac:dyDescent="0.3">
      <c r="A757" s="1"/>
      <c r="B757" s="181"/>
      <c r="C757" s="181"/>
      <c r="D757" s="181"/>
      <c r="E757" s="182"/>
      <c r="F757" s="182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  <c r="AC757" s="181"/>
      <c r="AD757" s="181"/>
      <c r="AE757" s="181"/>
      <c r="AF757" s="181"/>
      <c r="AG757" s="181"/>
      <c r="AH757" s="181"/>
      <c r="AI757" s="181"/>
      <c r="AJ757" s="181"/>
      <c r="AK757" s="181"/>
      <c r="AL757" s="181"/>
      <c r="AM757" s="181"/>
      <c r="AN757" s="181"/>
      <c r="AO757" s="181"/>
      <c r="AP757" s="181"/>
      <c r="AQ757" s="181"/>
      <c r="AR757" s="181"/>
      <c r="AS757" s="181"/>
      <c r="AT757" s="181"/>
      <c r="AU757" s="181"/>
      <c r="AV757" s="181"/>
      <c r="AW757" s="181"/>
    </row>
    <row r="758" spans="1:49" ht="13.5" customHeight="1" x14ac:dyDescent="0.3">
      <c r="A758" s="1"/>
      <c r="B758" s="181"/>
      <c r="C758" s="181"/>
      <c r="D758" s="181"/>
      <c r="E758" s="182"/>
      <c r="F758" s="182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  <c r="AC758" s="181"/>
      <c r="AD758" s="181"/>
      <c r="AE758" s="181"/>
      <c r="AF758" s="181"/>
      <c r="AG758" s="181"/>
      <c r="AH758" s="181"/>
      <c r="AI758" s="181"/>
      <c r="AJ758" s="181"/>
      <c r="AK758" s="181"/>
      <c r="AL758" s="181"/>
      <c r="AM758" s="181"/>
      <c r="AN758" s="181"/>
      <c r="AO758" s="181"/>
      <c r="AP758" s="181"/>
      <c r="AQ758" s="181"/>
      <c r="AR758" s="181"/>
      <c r="AS758" s="181"/>
      <c r="AT758" s="181"/>
      <c r="AU758" s="181"/>
      <c r="AV758" s="181"/>
      <c r="AW758" s="181"/>
    </row>
    <row r="759" spans="1:49" ht="13.5" customHeight="1" x14ac:dyDescent="0.3">
      <c r="A759" s="1"/>
      <c r="B759" s="181"/>
      <c r="C759" s="181"/>
      <c r="D759" s="181"/>
      <c r="E759" s="182"/>
      <c r="F759" s="182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  <c r="AC759" s="181"/>
      <c r="AD759" s="181"/>
      <c r="AE759" s="181"/>
      <c r="AF759" s="181"/>
      <c r="AG759" s="181"/>
      <c r="AH759" s="181"/>
      <c r="AI759" s="181"/>
      <c r="AJ759" s="181"/>
      <c r="AK759" s="181"/>
      <c r="AL759" s="181"/>
      <c r="AM759" s="181"/>
      <c r="AN759" s="181"/>
      <c r="AO759" s="181"/>
      <c r="AP759" s="181"/>
      <c r="AQ759" s="181"/>
      <c r="AR759" s="181"/>
      <c r="AS759" s="181"/>
      <c r="AT759" s="181"/>
      <c r="AU759" s="181"/>
      <c r="AV759" s="181"/>
      <c r="AW759" s="181"/>
    </row>
    <row r="760" spans="1:49" ht="13.5" customHeight="1" x14ac:dyDescent="0.3">
      <c r="A760" s="1"/>
      <c r="B760" s="181"/>
      <c r="C760" s="181"/>
      <c r="D760" s="181"/>
      <c r="E760" s="182"/>
      <c r="F760" s="182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  <c r="AC760" s="181"/>
      <c r="AD760" s="181"/>
      <c r="AE760" s="181"/>
      <c r="AF760" s="181"/>
      <c r="AG760" s="181"/>
      <c r="AH760" s="181"/>
      <c r="AI760" s="181"/>
      <c r="AJ760" s="181"/>
      <c r="AK760" s="181"/>
      <c r="AL760" s="181"/>
      <c r="AM760" s="181"/>
      <c r="AN760" s="181"/>
      <c r="AO760" s="181"/>
      <c r="AP760" s="181"/>
      <c r="AQ760" s="181"/>
      <c r="AR760" s="181"/>
      <c r="AS760" s="181"/>
      <c r="AT760" s="181"/>
      <c r="AU760" s="181"/>
      <c r="AV760" s="181"/>
      <c r="AW760" s="181"/>
    </row>
    <row r="761" spans="1:49" ht="13.5" customHeight="1" x14ac:dyDescent="0.3">
      <c r="A761" s="1"/>
      <c r="B761" s="181"/>
      <c r="C761" s="181"/>
      <c r="D761" s="181"/>
      <c r="E761" s="182"/>
      <c r="F761" s="182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  <c r="AC761" s="181"/>
      <c r="AD761" s="181"/>
      <c r="AE761" s="181"/>
      <c r="AF761" s="181"/>
      <c r="AG761" s="181"/>
      <c r="AH761" s="181"/>
      <c r="AI761" s="181"/>
      <c r="AJ761" s="181"/>
      <c r="AK761" s="181"/>
      <c r="AL761" s="181"/>
      <c r="AM761" s="181"/>
      <c r="AN761" s="181"/>
      <c r="AO761" s="181"/>
      <c r="AP761" s="181"/>
      <c r="AQ761" s="181"/>
      <c r="AR761" s="181"/>
      <c r="AS761" s="181"/>
      <c r="AT761" s="181"/>
      <c r="AU761" s="181"/>
      <c r="AV761" s="181"/>
      <c r="AW761" s="181"/>
    </row>
    <row r="762" spans="1:49" ht="13.5" customHeight="1" x14ac:dyDescent="0.3">
      <c r="A762" s="1"/>
      <c r="B762" s="181"/>
      <c r="C762" s="181"/>
      <c r="D762" s="181"/>
      <c r="E762" s="182"/>
      <c r="F762" s="182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  <c r="AC762" s="181"/>
      <c r="AD762" s="181"/>
      <c r="AE762" s="181"/>
      <c r="AF762" s="181"/>
      <c r="AG762" s="181"/>
      <c r="AH762" s="181"/>
      <c r="AI762" s="181"/>
      <c r="AJ762" s="181"/>
      <c r="AK762" s="181"/>
      <c r="AL762" s="181"/>
      <c r="AM762" s="181"/>
      <c r="AN762" s="181"/>
      <c r="AO762" s="181"/>
      <c r="AP762" s="181"/>
      <c r="AQ762" s="181"/>
      <c r="AR762" s="181"/>
      <c r="AS762" s="181"/>
      <c r="AT762" s="181"/>
      <c r="AU762" s="181"/>
      <c r="AV762" s="181"/>
      <c r="AW762" s="181"/>
    </row>
    <row r="763" spans="1:49" ht="13.5" customHeight="1" x14ac:dyDescent="0.3">
      <c r="A763" s="1"/>
      <c r="B763" s="181"/>
      <c r="C763" s="181"/>
      <c r="D763" s="181"/>
      <c r="E763" s="182"/>
      <c r="F763" s="182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  <c r="AC763" s="181"/>
      <c r="AD763" s="181"/>
      <c r="AE763" s="181"/>
      <c r="AF763" s="181"/>
      <c r="AG763" s="181"/>
      <c r="AH763" s="181"/>
      <c r="AI763" s="181"/>
      <c r="AJ763" s="181"/>
      <c r="AK763" s="181"/>
      <c r="AL763" s="181"/>
      <c r="AM763" s="181"/>
      <c r="AN763" s="181"/>
      <c r="AO763" s="181"/>
      <c r="AP763" s="181"/>
      <c r="AQ763" s="181"/>
      <c r="AR763" s="181"/>
      <c r="AS763" s="181"/>
      <c r="AT763" s="181"/>
      <c r="AU763" s="181"/>
      <c r="AV763" s="181"/>
      <c r="AW763" s="181"/>
    </row>
    <row r="764" spans="1:49" ht="13.5" customHeight="1" x14ac:dyDescent="0.3">
      <c r="A764" s="1"/>
      <c r="B764" s="181"/>
      <c r="C764" s="181"/>
      <c r="D764" s="181"/>
      <c r="E764" s="182"/>
      <c r="F764" s="182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  <c r="AC764" s="181"/>
      <c r="AD764" s="181"/>
      <c r="AE764" s="181"/>
      <c r="AF764" s="181"/>
      <c r="AG764" s="181"/>
      <c r="AH764" s="181"/>
      <c r="AI764" s="181"/>
      <c r="AJ764" s="181"/>
      <c r="AK764" s="181"/>
      <c r="AL764" s="181"/>
      <c r="AM764" s="181"/>
      <c r="AN764" s="181"/>
      <c r="AO764" s="181"/>
      <c r="AP764" s="181"/>
      <c r="AQ764" s="181"/>
      <c r="AR764" s="181"/>
      <c r="AS764" s="181"/>
      <c r="AT764" s="181"/>
      <c r="AU764" s="181"/>
      <c r="AV764" s="181"/>
      <c r="AW764" s="181"/>
    </row>
    <row r="765" spans="1:49" ht="13.5" customHeight="1" x14ac:dyDescent="0.3">
      <c r="A765" s="1"/>
      <c r="B765" s="181"/>
      <c r="C765" s="181"/>
      <c r="D765" s="181"/>
      <c r="E765" s="182"/>
      <c r="F765" s="182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  <c r="AC765" s="181"/>
      <c r="AD765" s="181"/>
      <c r="AE765" s="181"/>
      <c r="AF765" s="181"/>
      <c r="AG765" s="181"/>
      <c r="AH765" s="181"/>
      <c r="AI765" s="181"/>
      <c r="AJ765" s="181"/>
      <c r="AK765" s="181"/>
      <c r="AL765" s="181"/>
      <c r="AM765" s="181"/>
      <c r="AN765" s="181"/>
      <c r="AO765" s="181"/>
      <c r="AP765" s="181"/>
      <c r="AQ765" s="181"/>
      <c r="AR765" s="181"/>
      <c r="AS765" s="181"/>
      <c r="AT765" s="181"/>
      <c r="AU765" s="181"/>
      <c r="AV765" s="181"/>
      <c r="AW765" s="181"/>
    </row>
    <row r="766" spans="1:49" ht="13.5" customHeight="1" x14ac:dyDescent="0.3">
      <c r="A766" s="1"/>
      <c r="B766" s="181"/>
      <c r="C766" s="181"/>
      <c r="D766" s="181"/>
      <c r="E766" s="182"/>
      <c r="F766" s="182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  <c r="AC766" s="181"/>
      <c r="AD766" s="181"/>
      <c r="AE766" s="181"/>
      <c r="AF766" s="181"/>
      <c r="AG766" s="181"/>
      <c r="AH766" s="181"/>
      <c r="AI766" s="181"/>
      <c r="AJ766" s="181"/>
      <c r="AK766" s="181"/>
      <c r="AL766" s="181"/>
      <c r="AM766" s="181"/>
      <c r="AN766" s="181"/>
      <c r="AO766" s="181"/>
      <c r="AP766" s="181"/>
      <c r="AQ766" s="181"/>
      <c r="AR766" s="181"/>
      <c r="AS766" s="181"/>
      <c r="AT766" s="181"/>
      <c r="AU766" s="181"/>
      <c r="AV766" s="181"/>
      <c r="AW766" s="181"/>
    </row>
    <row r="767" spans="1:49" ht="13.5" customHeight="1" x14ac:dyDescent="0.3">
      <c r="A767" s="1"/>
      <c r="B767" s="181"/>
      <c r="C767" s="181"/>
      <c r="D767" s="181"/>
      <c r="E767" s="182"/>
      <c r="F767" s="182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  <c r="AC767" s="181"/>
      <c r="AD767" s="181"/>
      <c r="AE767" s="181"/>
      <c r="AF767" s="181"/>
      <c r="AG767" s="181"/>
      <c r="AH767" s="181"/>
      <c r="AI767" s="181"/>
      <c r="AJ767" s="181"/>
      <c r="AK767" s="181"/>
      <c r="AL767" s="181"/>
      <c r="AM767" s="181"/>
      <c r="AN767" s="181"/>
      <c r="AO767" s="181"/>
      <c r="AP767" s="181"/>
      <c r="AQ767" s="181"/>
      <c r="AR767" s="181"/>
      <c r="AS767" s="181"/>
      <c r="AT767" s="181"/>
      <c r="AU767" s="181"/>
      <c r="AV767" s="181"/>
      <c r="AW767" s="181"/>
    </row>
    <row r="768" spans="1:49" ht="13.5" customHeight="1" x14ac:dyDescent="0.3">
      <c r="A768" s="1"/>
      <c r="B768" s="181"/>
      <c r="C768" s="181"/>
      <c r="D768" s="181"/>
      <c r="E768" s="182"/>
      <c r="F768" s="182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  <c r="AC768" s="181"/>
      <c r="AD768" s="181"/>
      <c r="AE768" s="181"/>
      <c r="AF768" s="181"/>
      <c r="AG768" s="181"/>
      <c r="AH768" s="181"/>
      <c r="AI768" s="181"/>
      <c r="AJ768" s="181"/>
      <c r="AK768" s="181"/>
      <c r="AL768" s="181"/>
      <c r="AM768" s="181"/>
      <c r="AN768" s="181"/>
      <c r="AO768" s="181"/>
      <c r="AP768" s="181"/>
      <c r="AQ768" s="181"/>
      <c r="AR768" s="181"/>
      <c r="AS768" s="181"/>
      <c r="AT768" s="181"/>
      <c r="AU768" s="181"/>
      <c r="AV768" s="181"/>
      <c r="AW768" s="181"/>
    </row>
    <row r="769" spans="1:49" ht="13.5" customHeight="1" x14ac:dyDescent="0.3">
      <c r="A769" s="1"/>
      <c r="B769" s="181"/>
      <c r="C769" s="181"/>
      <c r="D769" s="181"/>
      <c r="E769" s="182"/>
      <c r="F769" s="182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  <c r="AC769" s="181"/>
      <c r="AD769" s="181"/>
      <c r="AE769" s="181"/>
      <c r="AF769" s="181"/>
      <c r="AG769" s="181"/>
      <c r="AH769" s="181"/>
      <c r="AI769" s="181"/>
      <c r="AJ769" s="181"/>
      <c r="AK769" s="181"/>
      <c r="AL769" s="181"/>
      <c r="AM769" s="181"/>
      <c r="AN769" s="181"/>
      <c r="AO769" s="181"/>
      <c r="AP769" s="181"/>
      <c r="AQ769" s="181"/>
      <c r="AR769" s="181"/>
      <c r="AS769" s="181"/>
      <c r="AT769" s="181"/>
      <c r="AU769" s="181"/>
      <c r="AV769" s="181"/>
      <c r="AW769" s="181"/>
    </row>
    <row r="770" spans="1:49" ht="13.5" customHeight="1" x14ac:dyDescent="0.3">
      <c r="A770" s="1"/>
      <c r="B770" s="181"/>
      <c r="C770" s="181"/>
      <c r="D770" s="181"/>
      <c r="E770" s="182"/>
      <c r="F770" s="182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  <c r="AC770" s="181"/>
      <c r="AD770" s="181"/>
      <c r="AE770" s="181"/>
      <c r="AF770" s="181"/>
      <c r="AG770" s="181"/>
      <c r="AH770" s="181"/>
      <c r="AI770" s="181"/>
      <c r="AJ770" s="181"/>
      <c r="AK770" s="181"/>
      <c r="AL770" s="181"/>
      <c r="AM770" s="181"/>
      <c r="AN770" s="181"/>
      <c r="AO770" s="181"/>
      <c r="AP770" s="181"/>
      <c r="AQ770" s="181"/>
      <c r="AR770" s="181"/>
      <c r="AS770" s="181"/>
      <c r="AT770" s="181"/>
      <c r="AU770" s="181"/>
      <c r="AV770" s="181"/>
      <c r="AW770" s="181"/>
    </row>
    <row r="771" spans="1:49" ht="13.5" customHeight="1" x14ac:dyDescent="0.3">
      <c r="A771" s="1"/>
      <c r="B771" s="181"/>
      <c r="C771" s="181"/>
      <c r="D771" s="181"/>
      <c r="E771" s="182"/>
      <c r="F771" s="182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  <c r="AC771" s="181"/>
      <c r="AD771" s="181"/>
      <c r="AE771" s="181"/>
      <c r="AF771" s="181"/>
      <c r="AG771" s="181"/>
      <c r="AH771" s="181"/>
      <c r="AI771" s="181"/>
      <c r="AJ771" s="181"/>
      <c r="AK771" s="181"/>
      <c r="AL771" s="181"/>
      <c r="AM771" s="181"/>
      <c r="AN771" s="181"/>
      <c r="AO771" s="181"/>
      <c r="AP771" s="181"/>
      <c r="AQ771" s="181"/>
      <c r="AR771" s="181"/>
      <c r="AS771" s="181"/>
      <c r="AT771" s="181"/>
      <c r="AU771" s="181"/>
      <c r="AV771" s="181"/>
      <c r="AW771" s="181"/>
    </row>
    <row r="772" spans="1:49" ht="13.5" customHeight="1" x14ac:dyDescent="0.3">
      <c r="A772" s="1"/>
      <c r="B772" s="181"/>
      <c r="C772" s="181"/>
      <c r="D772" s="181"/>
      <c r="E772" s="182"/>
      <c r="F772" s="182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  <c r="AC772" s="181"/>
      <c r="AD772" s="181"/>
      <c r="AE772" s="181"/>
      <c r="AF772" s="181"/>
      <c r="AG772" s="181"/>
      <c r="AH772" s="181"/>
      <c r="AI772" s="181"/>
      <c r="AJ772" s="181"/>
      <c r="AK772" s="181"/>
      <c r="AL772" s="181"/>
      <c r="AM772" s="181"/>
      <c r="AN772" s="181"/>
      <c r="AO772" s="181"/>
      <c r="AP772" s="181"/>
      <c r="AQ772" s="181"/>
      <c r="AR772" s="181"/>
      <c r="AS772" s="181"/>
      <c r="AT772" s="181"/>
      <c r="AU772" s="181"/>
      <c r="AV772" s="181"/>
      <c r="AW772" s="181"/>
    </row>
    <row r="773" spans="1:49" ht="13.5" customHeight="1" x14ac:dyDescent="0.3">
      <c r="A773" s="1"/>
      <c r="B773" s="181"/>
      <c r="C773" s="181"/>
      <c r="D773" s="181"/>
      <c r="E773" s="182"/>
      <c r="F773" s="182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  <c r="AC773" s="181"/>
      <c r="AD773" s="181"/>
      <c r="AE773" s="181"/>
      <c r="AF773" s="181"/>
      <c r="AG773" s="181"/>
      <c r="AH773" s="181"/>
      <c r="AI773" s="181"/>
      <c r="AJ773" s="181"/>
      <c r="AK773" s="181"/>
      <c r="AL773" s="181"/>
      <c r="AM773" s="181"/>
      <c r="AN773" s="181"/>
      <c r="AO773" s="181"/>
      <c r="AP773" s="181"/>
      <c r="AQ773" s="181"/>
      <c r="AR773" s="181"/>
      <c r="AS773" s="181"/>
      <c r="AT773" s="181"/>
      <c r="AU773" s="181"/>
      <c r="AV773" s="181"/>
      <c r="AW773" s="181"/>
    </row>
    <row r="774" spans="1:49" ht="13.5" customHeight="1" x14ac:dyDescent="0.3">
      <c r="A774" s="1"/>
      <c r="B774" s="181"/>
      <c r="C774" s="181"/>
      <c r="D774" s="181"/>
      <c r="E774" s="182"/>
      <c r="F774" s="182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  <c r="AC774" s="181"/>
      <c r="AD774" s="181"/>
      <c r="AE774" s="181"/>
      <c r="AF774" s="181"/>
      <c r="AG774" s="181"/>
      <c r="AH774" s="181"/>
      <c r="AI774" s="181"/>
      <c r="AJ774" s="181"/>
      <c r="AK774" s="181"/>
      <c r="AL774" s="181"/>
      <c r="AM774" s="181"/>
      <c r="AN774" s="181"/>
      <c r="AO774" s="181"/>
      <c r="AP774" s="181"/>
      <c r="AQ774" s="181"/>
      <c r="AR774" s="181"/>
      <c r="AS774" s="181"/>
      <c r="AT774" s="181"/>
      <c r="AU774" s="181"/>
      <c r="AV774" s="181"/>
      <c r="AW774" s="181"/>
    </row>
    <row r="775" spans="1:49" ht="13.5" customHeight="1" x14ac:dyDescent="0.3">
      <c r="A775" s="1"/>
      <c r="B775" s="181"/>
      <c r="C775" s="181"/>
      <c r="D775" s="181"/>
      <c r="E775" s="182"/>
      <c r="F775" s="182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  <c r="AC775" s="181"/>
      <c r="AD775" s="181"/>
      <c r="AE775" s="181"/>
      <c r="AF775" s="181"/>
      <c r="AG775" s="181"/>
      <c r="AH775" s="181"/>
      <c r="AI775" s="181"/>
      <c r="AJ775" s="181"/>
      <c r="AK775" s="181"/>
      <c r="AL775" s="181"/>
      <c r="AM775" s="181"/>
      <c r="AN775" s="181"/>
      <c r="AO775" s="181"/>
      <c r="AP775" s="181"/>
      <c r="AQ775" s="181"/>
      <c r="AR775" s="181"/>
      <c r="AS775" s="181"/>
      <c r="AT775" s="181"/>
      <c r="AU775" s="181"/>
      <c r="AV775" s="181"/>
      <c r="AW775" s="181"/>
    </row>
    <row r="776" spans="1:49" ht="13.5" customHeight="1" x14ac:dyDescent="0.3">
      <c r="A776" s="1"/>
      <c r="B776" s="181"/>
      <c r="C776" s="181"/>
      <c r="D776" s="181"/>
      <c r="E776" s="182"/>
      <c r="F776" s="182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  <c r="AC776" s="181"/>
      <c r="AD776" s="181"/>
      <c r="AE776" s="181"/>
      <c r="AF776" s="181"/>
      <c r="AG776" s="181"/>
      <c r="AH776" s="181"/>
      <c r="AI776" s="181"/>
      <c r="AJ776" s="181"/>
      <c r="AK776" s="181"/>
      <c r="AL776" s="181"/>
      <c r="AM776" s="181"/>
      <c r="AN776" s="181"/>
      <c r="AO776" s="181"/>
      <c r="AP776" s="181"/>
      <c r="AQ776" s="181"/>
      <c r="AR776" s="181"/>
      <c r="AS776" s="181"/>
      <c r="AT776" s="181"/>
      <c r="AU776" s="181"/>
      <c r="AV776" s="181"/>
      <c r="AW776" s="181"/>
    </row>
    <row r="777" spans="1:49" ht="13.5" customHeight="1" x14ac:dyDescent="0.3">
      <c r="A777" s="1"/>
      <c r="B777" s="181"/>
      <c r="C777" s="181"/>
      <c r="D777" s="181"/>
      <c r="E777" s="182"/>
      <c r="F777" s="182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  <c r="AC777" s="181"/>
      <c r="AD777" s="181"/>
      <c r="AE777" s="181"/>
      <c r="AF777" s="181"/>
      <c r="AG777" s="181"/>
      <c r="AH777" s="181"/>
      <c r="AI777" s="181"/>
      <c r="AJ777" s="181"/>
      <c r="AK777" s="181"/>
      <c r="AL777" s="181"/>
      <c r="AM777" s="181"/>
      <c r="AN777" s="181"/>
      <c r="AO777" s="181"/>
      <c r="AP777" s="181"/>
      <c r="AQ777" s="181"/>
      <c r="AR777" s="181"/>
      <c r="AS777" s="181"/>
      <c r="AT777" s="181"/>
      <c r="AU777" s="181"/>
      <c r="AV777" s="181"/>
      <c r="AW777" s="181"/>
    </row>
    <row r="778" spans="1:49" ht="13.5" customHeight="1" x14ac:dyDescent="0.3">
      <c r="A778" s="1"/>
      <c r="B778" s="181"/>
      <c r="C778" s="181"/>
      <c r="D778" s="181"/>
      <c r="E778" s="182"/>
      <c r="F778" s="182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  <c r="AC778" s="181"/>
      <c r="AD778" s="181"/>
      <c r="AE778" s="181"/>
      <c r="AF778" s="181"/>
      <c r="AG778" s="181"/>
      <c r="AH778" s="181"/>
      <c r="AI778" s="181"/>
      <c r="AJ778" s="181"/>
      <c r="AK778" s="181"/>
      <c r="AL778" s="181"/>
      <c r="AM778" s="181"/>
      <c r="AN778" s="181"/>
      <c r="AO778" s="181"/>
      <c r="AP778" s="181"/>
      <c r="AQ778" s="181"/>
      <c r="AR778" s="181"/>
      <c r="AS778" s="181"/>
      <c r="AT778" s="181"/>
      <c r="AU778" s="181"/>
      <c r="AV778" s="181"/>
      <c r="AW778" s="181"/>
    </row>
    <row r="779" spans="1:49" ht="13.5" customHeight="1" x14ac:dyDescent="0.3">
      <c r="A779" s="1"/>
      <c r="B779" s="181"/>
      <c r="C779" s="181"/>
      <c r="D779" s="181"/>
      <c r="E779" s="182"/>
      <c r="F779" s="182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  <c r="AC779" s="181"/>
      <c r="AD779" s="181"/>
      <c r="AE779" s="181"/>
      <c r="AF779" s="181"/>
      <c r="AG779" s="181"/>
      <c r="AH779" s="181"/>
      <c r="AI779" s="181"/>
      <c r="AJ779" s="181"/>
      <c r="AK779" s="181"/>
      <c r="AL779" s="181"/>
      <c r="AM779" s="181"/>
      <c r="AN779" s="181"/>
      <c r="AO779" s="181"/>
      <c r="AP779" s="181"/>
      <c r="AQ779" s="181"/>
      <c r="AR779" s="181"/>
      <c r="AS779" s="181"/>
      <c r="AT779" s="181"/>
      <c r="AU779" s="181"/>
      <c r="AV779" s="181"/>
      <c r="AW779" s="181"/>
    </row>
    <row r="780" spans="1:49" ht="13.5" customHeight="1" x14ac:dyDescent="0.3">
      <c r="A780" s="1"/>
      <c r="B780" s="181"/>
      <c r="C780" s="181"/>
      <c r="D780" s="181"/>
      <c r="E780" s="182"/>
      <c r="F780" s="182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  <c r="AC780" s="181"/>
      <c r="AD780" s="181"/>
      <c r="AE780" s="181"/>
      <c r="AF780" s="181"/>
      <c r="AG780" s="181"/>
      <c r="AH780" s="181"/>
      <c r="AI780" s="181"/>
      <c r="AJ780" s="181"/>
      <c r="AK780" s="181"/>
      <c r="AL780" s="181"/>
      <c r="AM780" s="181"/>
      <c r="AN780" s="181"/>
      <c r="AO780" s="181"/>
      <c r="AP780" s="181"/>
      <c r="AQ780" s="181"/>
      <c r="AR780" s="181"/>
      <c r="AS780" s="181"/>
      <c r="AT780" s="181"/>
      <c r="AU780" s="181"/>
      <c r="AV780" s="181"/>
      <c r="AW780" s="181"/>
    </row>
    <row r="781" spans="1:49" ht="13.5" customHeight="1" x14ac:dyDescent="0.3">
      <c r="A781" s="1"/>
      <c r="B781" s="181"/>
      <c r="C781" s="181"/>
      <c r="D781" s="181"/>
      <c r="E781" s="182"/>
      <c r="F781" s="182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  <c r="AC781" s="181"/>
      <c r="AD781" s="181"/>
      <c r="AE781" s="181"/>
      <c r="AF781" s="181"/>
      <c r="AG781" s="181"/>
      <c r="AH781" s="181"/>
      <c r="AI781" s="181"/>
      <c r="AJ781" s="181"/>
      <c r="AK781" s="181"/>
      <c r="AL781" s="181"/>
      <c r="AM781" s="181"/>
      <c r="AN781" s="181"/>
      <c r="AO781" s="181"/>
      <c r="AP781" s="181"/>
      <c r="AQ781" s="181"/>
      <c r="AR781" s="181"/>
      <c r="AS781" s="181"/>
      <c r="AT781" s="181"/>
      <c r="AU781" s="181"/>
      <c r="AV781" s="181"/>
      <c r="AW781" s="181"/>
    </row>
    <row r="782" spans="1:49" ht="13.5" customHeight="1" x14ac:dyDescent="0.3">
      <c r="A782" s="1"/>
      <c r="B782" s="181"/>
      <c r="C782" s="181"/>
      <c r="D782" s="181"/>
      <c r="E782" s="182"/>
      <c r="F782" s="182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  <c r="AC782" s="181"/>
      <c r="AD782" s="181"/>
      <c r="AE782" s="181"/>
      <c r="AF782" s="181"/>
      <c r="AG782" s="181"/>
      <c r="AH782" s="181"/>
      <c r="AI782" s="181"/>
      <c r="AJ782" s="181"/>
      <c r="AK782" s="181"/>
      <c r="AL782" s="181"/>
      <c r="AM782" s="181"/>
      <c r="AN782" s="181"/>
      <c r="AO782" s="181"/>
      <c r="AP782" s="181"/>
      <c r="AQ782" s="181"/>
      <c r="AR782" s="181"/>
      <c r="AS782" s="181"/>
      <c r="AT782" s="181"/>
      <c r="AU782" s="181"/>
      <c r="AV782" s="181"/>
      <c r="AW782" s="181"/>
    </row>
    <row r="783" spans="1:49" ht="13.5" customHeight="1" x14ac:dyDescent="0.3">
      <c r="A783" s="1"/>
      <c r="B783" s="181"/>
      <c r="C783" s="181"/>
      <c r="D783" s="181"/>
      <c r="E783" s="182"/>
      <c r="F783" s="182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  <c r="AC783" s="181"/>
      <c r="AD783" s="181"/>
      <c r="AE783" s="181"/>
      <c r="AF783" s="181"/>
      <c r="AG783" s="181"/>
      <c r="AH783" s="181"/>
      <c r="AI783" s="181"/>
      <c r="AJ783" s="181"/>
      <c r="AK783" s="181"/>
      <c r="AL783" s="181"/>
      <c r="AM783" s="181"/>
      <c r="AN783" s="181"/>
      <c r="AO783" s="181"/>
      <c r="AP783" s="181"/>
      <c r="AQ783" s="181"/>
      <c r="AR783" s="181"/>
      <c r="AS783" s="181"/>
      <c r="AT783" s="181"/>
      <c r="AU783" s="181"/>
      <c r="AV783" s="181"/>
      <c r="AW783" s="181"/>
    </row>
    <row r="784" spans="1:49" ht="13.5" customHeight="1" x14ac:dyDescent="0.3">
      <c r="A784" s="1"/>
      <c r="B784" s="181"/>
      <c r="C784" s="181"/>
      <c r="D784" s="181"/>
      <c r="E784" s="182"/>
      <c r="F784" s="182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  <c r="AC784" s="181"/>
      <c r="AD784" s="181"/>
      <c r="AE784" s="181"/>
      <c r="AF784" s="181"/>
      <c r="AG784" s="181"/>
      <c r="AH784" s="181"/>
      <c r="AI784" s="181"/>
      <c r="AJ784" s="181"/>
      <c r="AK784" s="181"/>
      <c r="AL784" s="181"/>
      <c r="AM784" s="181"/>
      <c r="AN784" s="181"/>
      <c r="AO784" s="181"/>
      <c r="AP784" s="181"/>
      <c r="AQ784" s="181"/>
      <c r="AR784" s="181"/>
      <c r="AS784" s="181"/>
      <c r="AT784" s="181"/>
      <c r="AU784" s="181"/>
      <c r="AV784" s="181"/>
      <c r="AW784" s="181"/>
    </row>
    <row r="785" spans="1:49" ht="13.5" customHeight="1" x14ac:dyDescent="0.3">
      <c r="A785" s="1"/>
      <c r="B785" s="181"/>
      <c r="C785" s="181"/>
      <c r="D785" s="181"/>
      <c r="E785" s="182"/>
      <c r="F785" s="182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  <c r="AC785" s="181"/>
      <c r="AD785" s="181"/>
      <c r="AE785" s="181"/>
      <c r="AF785" s="181"/>
      <c r="AG785" s="181"/>
      <c r="AH785" s="181"/>
      <c r="AI785" s="181"/>
      <c r="AJ785" s="181"/>
      <c r="AK785" s="181"/>
      <c r="AL785" s="181"/>
      <c r="AM785" s="181"/>
      <c r="AN785" s="181"/>
      <c r="AO785" s="181"/>
      <c r="AP785" s="181"/>
      <c r="AQ785" s="181"/>
      <c r="AR785" s="181"/>
      <c r="AS785" s="181"/>
      <c r="AT785" s="181"/>
      <c r="AU785" s="181"/>
      <c r="AV785" s="181"/>
      <c r="AW785" s="181"/>
    </row>
    <row r="786" spans="1:49" ht="13.5" customHeight="1" x14ac:dyDescent="0.3">
      <c r="A786" s="1"/>
      <c r="B786" s="181"/>
      <c r="C786" s="181"/>
      <c r="D786" s="181"/>
      <c r="E786" s="182"/>
      <c r="F786" s="182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  <c r="AC786" s="181"/>
      <c r="AD786" s="181"/>
      <c r="AE786" s="181"/>
      <c r="AF786" s="181"/>
      <c r="AG786" s="181"/>
      <c r="AH786" s="181"/>
      <c r="AI786" s="181"/>
      <c r="AJ786" s="181"/>
      <c r="AK786" s="181"/>
      <c r="AL786" s="181"/>
      <c r="AM786" s="181"/>
      <c r="AN786" s="181"/>
      <c r="AO786" s="181"/>
      <c r="AP786" s="181"/>
      <c r="AQ786" s="181"/>
      <c r="AR786" s="181"/>
      <c r="AS786" s="181"/>
      <c r="AT786" s="181"/>
      <c r="AU786" s="181"/>
      <c r="AV786" s="181"/>
      <c r="AW786" s="181"/>
    </row>
    <row r="787" spans="1:49" ht="13.5" customHeight="1" x14ac:dyDescent="0.3">
      <c r="A787" s="1"/>
      <c r="B787" s="181"/>
      <c r="C787" s="181"/>
      <c r="D787" s="181"/>
      <c r="E787" s="182"/>
      <c r="F787" s="182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  <c r="AC787" s="181"/>
      <c r="AD787" s="181"/>
      <c r="AE787" s="181"/>
      <c r="AF787" s="181"/>
      <c r="AG787" s="181"/>
      <c r="AH787" s="181"/>
      <c r="AI787" s="181"/>
      <c r="AJ787" s="181"/>
      <c r="AK787" s="181"/>
      <c r="AL787" s="181"/>
      <c r="AM787" s="181"/>
      <c r="AN787" s="181"/>
      <c r="AO787" s="181"/>
      <c r="AP787" s="181"/>
      <c r="AQ787" s="181"/>
      <c r="AR787" s="181"/>
      <c r="AS787" s="181"/>
      <c r="AT787" s="181"/>
      <c r="AU787" s="181"/>
      <c r="AV787" s="181"/>
      <c r="AW787" s="181"/>
    </row>
    <row r="788" spans="1:49" ht="13.5" customHeight="1" x14ac:dyDescent="0.3">
      <c r="A788" s="1"/>
      <c r="B788" s="181"/>
      <c r="C788" s="181"/>
      <c r="D788" s="181"/>
      <c r="E788" s="182"/>
      <c r="F788" s="182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  <c r="AC788" s="181"/>
      <c r="AD788" s="181"/>
      <c r="AE788" s="181"/>
      <c r="AF788" s="181"/>
      <c r="AG788" s="181"/>
      <c r="AH788" s="181"/>
      <c r="AI788" s="181"/>
      <c r="AJ788" s="181"/>
      <c r="AK788" s="181"/>
      <c r="AL788" s="181"/>
      <c r="AM788" s="181"/>
      <c r="AN788" s="181"/>
      <c r="AO788" s="181"/>
      <c r="AP788" s="181"/>
      <c r="AQ788" s="181"/>
      <c r="AR788" s="181"/>
      <c r="AS788" s="181"/>
      <c r="AT788" s="181"/>
      <c r="AU788" s="181"/>
      <c r="AV788" s="181"/>
      <c r="AW788" s="181"/>
    </row>
    <row r="789" spans="1:49" ht="13.5" customHeight="1" x14ac:dyDescent="0.3">
      <c r="A789" s="1"/>
      <c r="B789" s="181"/>
      <c r="C789" s="181"/>
      <c r="D789" s="181"/>
      <c r="E789" s="182"/>
      <c r="F789" s="182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  <c r="AC789" s="181"/>
      <c r="AD789" s="181"/>
      <c r="AE789" s="181"/>
      <c r="AF789" s="181"/>
      <c r="AG789" s="181"/>
      <c r="AH789" s="181"/>
      <c r="AI789" s="181"/>
      <c r="AJ789" s="181"/>
      <c r="AK789" s="181"/>
      <c r="AL789" s="181"/>
      <c r="AM789" s="181"/>
      <c r="AN789" s="181"/>
      <c r="AO789" s="181"/>
      <c r="AP789" s="181"/>
      <c r="AQ789" s="181"/>
      <c r="AR789" s="181"/>
      <c r="AS789" s="181"/>
      <c r="AT789" s="181"/>
      <c r="AU789" s="181"/>
      <c r="AV789" s="181"/>
      <c r="AW789" s="181"/>
    </row>
    <row r="790" spans="1:49" ht="13.5" customHeight="1" x14ac:dyDescent="0.3">
      <c r="A790" s="1"/>
      <c r="B790" s="181"/>
      <c r="C790" s="181"/>
      <c r="D790" s="181"/>
      <c r="E790" s="182"/>
      <c r="F790" s="182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  <c r="AC790" s="181"/>
      <c r="AD790" s="181"/>
      <c r="AE790" s="181"/>
      <c r="AF790" s="181"/>
      <c r="AG790" s="181"/>
      <c r="AH790" s="181"/>
      <c r="AI790" s="181"/>
      <c r="AJ790" s="181"/>
      <c r="AK790" s="181"/>
      <c r="AL790" s="181"/>
      <c r="AM790" s="181"/>
      <c r="AN790" s="181"/>
      <c r="AO790" s="181"/>
      <c r="AP790" s="181"/>
      <c r="AQ790" s="181"/>
      <c r="AR790" s="181"/>
      <c r="AS790" s="181"/>
      <c r="AT790" s="181"/>
      <c r="AU790" s="181"/>
      <c r="AV790" s="181"/>
      <c r="AW790" s="181"/>
    </row>
    <row r="791" spans="1:49" ht="13.5" customHeight="1" x14ac:dyDescent="0.3">
      <c r="A791" s="1"/>
      <c r="B791" s="181"/>
      <c r="C791" s="181"/>
      <c r="D791" s="181"/>
      <c r="E791" s="182"/>
      <c r="F791" s="182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  <c r="AC791" s="181"/>
      <c r="AD791" s="181"/>
      <c r="AE791" s="181"/>
      <c r="AF791" s="181"/>
      <c r="AG791" s="181"/>
      <c r="AH791" s="181"/>
      <c r="AI791" s="181"/>
      <c r="AJ791" s="181"/>
      <c r="AK791" s="181"/>
      <c r="AL791" s="181"/>
      <c r="AM791" s="181"/>
      <c r="AN791" s="181"/>
      <c r="AO791" s="181"/>
      <c r="AP791" s="181"/>
      <c r="AQ791" s="181"/>
      <c r="AR791" s="181"/>
      <c r="AS791" s="181"/>
      <c r="AT791" s="181"/>
      <c r="AU791" s="181"/>
      <c r="AV791" s="181"/>
      <c r="AW791" s="181"/>
    </row>
    <row r="792" spans="1:49" ht="13.5" customHeight="1" x14ac:dyDescent="0.3">
      <c r="A792" s="1"/>
      <c r="B792" s="181"/>
      <c r="C792" s="181"/>
      <c r="D792" s="181"/>
      <c r="E792" s="182"/>
      <c r="F792" s="182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  <c r="AC792" s="181"/>
      <c r="AD792" s="181"/>
      <c r="AE792" s="181"/>
      <c r="AF792" s="181"/>
      <c r="AG792" s="181"/>
      <c r="AH792" s="181"/>
      <c r="AI792" s="181"/>
      <c r="AJ792" s="181"/>
      <c r="AK792" s="181"/>
      <c r="AL792" s="181"/>
      <c r="AM792" s="181"/>
      <c r="AN792" s="181"/>
      <c r="AO792" s="181"/>
      <c r="AP792" s="181"/>
      <c r="AQ792" s="181"/>
      <c r="AR792" s="181"/>
      <c r="AS792" s="181"/>
      <c r="AT792" s="181"/>
      <c r="AU792" s="181"/>
      <c r="AV792" s="181"/>
      <c r="AW792" s="181"/>
    </row>
    <row r="793" spans="1:49" ht="13.5" customHeight="1" x14ac:dyDescent="0.3">
      <c r="A793" s="1"/>
      <c r="B793" s="181"/>
      <c r="C793" s="181"/>
      <c r="D793" s="181"/>
      <c r="E793" s="182"/>
      <c r="F793" s="182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  <c r="AC793" s="181"/>
      <c r="AD793" s="181"/>
      <c r="AE793" s="181"/>
      <c r="AF793" s="181"/>
      <c r="AG793" s="181"/>
      <c r="AH793" s="181"/>
      <c r="AI793" s="181"/>
      <c r="AJ793" s="181"/>
      <c r="AK793" s="181"/>
      <c r="AL793" s="181"/>
      <c r="AM793" s="181"/>
      <c r="AN793" s="181"/>
      <c r="AO793" s="181"/>
      <c r="AP793" s="181"/>
      <c r="AQ793" s="181"/>
      <c r="AR793" s="181"/>
      <c r="AS793" s="181"/>
      <c r="AT793" s="181"/>
      <c r="AU793" s="181"/>
      <c r="AV793" s="181"/>
      <c r="AW793" s="181"/>
    </row>
    <row r="794" spans="1:49" ht="13.5" customHeight="1" x14ac:dyDescent="0.3">
      <c r="A794" s="1"/>
      <c r="B794" s="181"/>
      <c r="C794" s="181"/>
      <c r="D794" s="181"/>
      <c r="E794" s="182"/>
      <c r="F794" s="182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  <c r="AC794" s="181"/>
      <c r="AD794" s="181"/>
      <c r="AE794" s="181"/>
      <c r="AF794" s="181"/>
      <c r="AG794" s="181"/>
      <c r="AH794" s="181"/>
      <c r="AI794" s="181"/>
      <c r="AJ794" s="181"/>
      <c r="AK794" s="181"/>
      <c r="AL794" s="181"/>
      <c r="AM794" s="181"/>
      <c r="AN794" s="181"/>
      <c r="AO794" s="181"/>
      <c r="AP794" s="181"/>
      <c r="AQ794" s="181"/>
      <c r="AR794" s="181"/>
      <c r="AS794" s="181"/>
      <c r="AT794" s="181"/>
      <c r="AU794" s="181"/>
      <c r="AV794" s="181"/>
      <c r="AW794" s="181"/>
    </row>
    <row r="795" spans="1:49" ht="13.5" customHeight="1" x14ac:dyDescent="0.3">
      <c r="A795" s="1"/>
      <c r="B795" s="181"/>
      <c r="C795" s="181"/>
      <c r="D795" s="181"/>
      <c r="E795" s="182"/>
      <c r="F795" s="182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  <c r="AC795" s="181"/>
      <c r="AD795" s="181"/>
      <c r="AE795" s="181"/>
      <c r="AF795" s="181"/>
      <c r="AG795" s="181"/>
      <c r="AH795" s="181"/>
      <c r="AI795" s="181"/>
      <c r="AJ795" s="181"/>
      <c r="AK795" s="181"/>
      <c r="AL795" s="181"/>
      <c r="AM795" s="181"/>
      <c r="AN795" s="181"/>
      <c r="AO795" s="181"/>
      <c r="AP795" s="181"/>
      <c r="AQ795" s="181"/>
      <c r="AR795" s="181"/>
      <c r="AS795" s="181"/>
      <c r="AT795" s="181"/>
      <c r="AU795" s="181"/>
      <c r="AV795" s="181"/>
      <c r="AW795" s="181"/>
    </row>
    <row r="796" spans="1:49" ht="13.5" customHeight="1" x14ac:dyDescent="0.3">
      <c r="A796" s="1"/>
      <c r="B796" s="181"/>
      <c r="C796" s="181"/>
      <c r="D796" s="181"/>
      <c r="E796" s="182"/>
      <c r="F796" s="182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  <c r="AC796" s="181"/>
      <c r="AD796" s="181"/>
      <c r="AE796" s="181"/>
      <c r="AF796" s="181"/>
      <c r="AG796" s="181"/>
      <c r="AH796" s="181"/>
      <c r="AI796" s="181"/>
      <c r="AJ796" s="181"/>
      <c r="AK796" s="181"/>
      <c r="AL796" s="181"/>
      <c r="AM796" s="181"/>
      <c r="AN796" s="181"/>
      <c r="AO796" s="181"/>
      <c r="AP796" s="181"/>
      <c r="AQ796" s="181"/>
      <c r="AR796" s="181"/>
      <c r="AS796" s="181"/>
      <c r="AT796" s="181"/>
      <c r="AU796" s="181"/>
      <c r="AV796" s="181"/>
      <c r="AW796" s="181"/>
    </row>
    <row r="797" spans="1:49" ht="13.5" customHeight="1" x14ac:dyDescent="0.3">
      <c r="A797" s="1"/>
      <c r="B797" s="181"/>
      <c r="C797" s="181"/>
      <c r="D797" s="181"/>
      <c r="E797" s="182"/>
      <c r="F797" s="182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  <c r="AC797" s="181"/>
      <c r="AD797" s="181"/>
      <c r="AE797" s="181"/>
      <c r="AF797" s="181"/>
      <c r="AG797" s="181"/>
      <c r="AH797" s="181"/>
      <c r="AI797" s="181"/>
      <c r="AJ797" s="181"/>
      <c r="AK797" s="181"/>
      <c r="AL797" s="181"/>
      <c r="AM797" s="181"/>
      <c r="AN797" s="181"/>
      <c r="AO797" s="181"/>
      <c r="AP797" s="181"/>
      <c r="AQ797" s="181"/>
      <c r="AR797" s="181"/>
      <c r="AS797" s="181"/>
      <c r="AT797" s="181"/>
      <c r="AU797" s="181"/>
      <c r="AV797" s="181"/>
      <c r="AW797" s="181"/>
    </row>
    <row r="798" spans="1:49" ht="13.5" customHeight="1" x14ac:dyDescent="0.3">
      <c r="A798" s="1"/>
      <c r="B798" s="181"/>
      <c r="C798" s="181"/>
      <c r="D798" s="181"/>
      <c r="E798" s="182"/>
      <c r="F798" s="182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  <c r="AC798" s="181"/>
      <c r="AD798" s="181"/>
      <c r="AE798" s="181"/>
      <c r="AF798" s="181"/>
      <c r="AG798" s="181"/>
      <c r="AH798" s="181"/>
      <c r="AI798" s="181"/>
      <c r="AJ798" s="181"/>
      <c r="AK798" s="181"/>
      <c r="AL798" s="181"/>
      <c r="AM798" s="181"/>
      <c r="AN798" s="181"/>
      <c r="AO798" s="181"/>
      <c r="AP798" s="181"/>
      <c r="AQ798" s="181"/>
      <c r="AR798" s="181"/>
      <c r="AS798" s="181"/>
      <c r="AT798" s="181"/>
      <c r="AU798" s="181"/>
      <c r="AV798" s="181"/>
      <c r="AW798" s="181"/>
    </row>
    <row r="799" spans="1:49" ht="13.5" customHeight="1" x14ac:dyDescent="0.3">
      <c r="A799" s="1"/>
      <c r="B799" s="181"/>
      <c r="C799" s="181"/>
      <c r="D799" s="181"/>
      <c r="E799" s="182"/>
      <c r="F799" s="182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  <c r="AC799" s="181"/>
      <c r="AD799" s="181"/>
      <c r="AE799" s="181"/>
      <c r="AF799" s="181"/>
      <c r="AG799" s="181"/>
      <c r="AH799" s="181"/>
      <c r="AI799" s="181"/>
      <c r="AJ799" s="181"/>
      <c r="AK799" s="181"/>
      <c r="AL799" s="181"/>
      <c r="AM799" s="181"/>
      <c r="AN799" s="181"/>
      <c r="AO799" s="181"/>
      <c r="AP799" s="181"/>
      <c r="AQ799" s="181"/>
      <c r="AR799" s="181"/>
      <c r="AS799" s="181"/>
      <c r="AT799" s="181"/>
      <c r="AU799" s="181"/>
      <c r="AV799" s="181"/>
      <c r="AW799" s="181"/>
    </row>
    <row r="800" spans="1:49" ht="13.5" customHeight="1" x14ac:dyDescent="0.3">
      <c r="A800" s="1"/>
      <c r="B800" s="181"/>
      <c r="C800" s="181"/>
      <c r="D800" s="181"/>
      <c r="E800" s="182"/>
      <c r="F800" s="182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  <c r="AC800" s="181"/>
      <c r="AD800" s="181"/>
      <c r="AE800" s="181"/>
      <c r="AF800" s="181"/>
      <c r="AG800" s="181"/>
      <c r="AH800" s="181"/>
      <c r="AI800" s="181"/>
      <c r="AJ800" s="181"/>
      <c r="AK800" s="181"/>
      <c r="AL800" s="181"/>
      <c r="AM800" s="181"/>
      <c r="AN800" s="181"/>
      <c r="AO800" s="181"/>
      <c r="AP800" s="181"/>
      <c r="AQ800" s="181"/>
      <c r="AR800" s="181"/>
      <c r="AS800" s="181"/>
      <c r="AT800" s="181"/>
      <c r="AU800" s="181"/>
      <c r="AV800" s="181"/>
      <c r="AW800" s="181"/>
    </row>
    <row r="801" spans="1:49" ht="13.5" customHeight="1" x14ac:dyDescent="0.3">
      <c r="A801" s="1"/>
      <c r="B801" s="181"/>
      <c r="C801" s="181"/>
      <c r="D801" s="181"/>
      <c r="E801" s="182"/>
      <c r="F801" s="182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  <c r="AC801" s="181"/>
      <c r="AD801" s="181"/>
      <c r="AE801" s="181"/>
      <c r="AF801" s="181"/>
      <c r="AG801" s="181"/>
      <c r="AH801" s="181"/>
      <c r="AI801" s="181"/>
      <c r="AJ801" s="181"/>
      <c r="AK801" s="181"/>
      <c r="AL801" s="181"/>
      <c r="AM801" s="181"/>
      <c r="AN801" s="181"/>
      <c r="AO801" s="181"/>
      <c r="AP801" s="181"/>
      <c r="AQ801" s="181"/>
      <c r="AR801" s="181"/>
      <c r="AS801" s="181"/>
      <c r="AT801" s="181"/>
      <c r="AU801" s="181"/>
      <c r="AV801" s="181"/>
      <c r="AW801" s="181"/>
    </row>
    <row r="802" spans="1:49" ht="13.5" customHeight="1" x14ac:dyDescent="0.3">
      <c r="A802" s="1"/>
      <c r="B802" s="181"/>
      <c r="C802" s="181"/>
      <c r="D802" s="181"/>
      <c r="E802" s="182"/>
      <c r="F802" s="182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  <c r="AC802" s="181"/>
      <c r="AD802" s="181"/>
      <c r="AE802" s="181"/>
      <c r="AF802" s="181"/>
      <c r="AG802" s="181"/>
      <c r="AH802" s="181"/>
      <c r="AI802" s="181"/>
      <c r="AJ802" s="181"/>
      <c r="AK802" s="181"/>
      <c r="AL802" s="181"/>
      <c r="AM802" s="181"/>
      <c r="AN802" s="181"/>
      <c r="AO802" s="181"/>
      <c r="AP802" s="181"/>
      <c r="AQ802" s="181"/>
      <c r="AR802" s="181"/>
      <c r="AS802" s="181"/>
      <c r="AT802" s="181"/>
      <c r="AU802" s="181"/>
      <c r="AV802" s="181"/>
      <c r="AW802" s="181"/>
    </row>
    <row r="803" spans="1:49" ht="13.5" customHeight="1" x14ac:dyDescent="0.3">
      <c r="A803" s="1"/>
      <c r="B803" s="181"/>
      <c r="C803" s="181"/>
      <c r="D803" s="181"/>
      <c r="E803" s="182"/>
      <c r="F803" s="182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  <c r="AC803" s="181"/>
      <c r="AD803" s="181"/>
      <c r="AE803" s="181"/>
      <c r="AF803" s="181"/>
      <c r="AG803" s="181"/>
      <c r="AH803" s="181"/>
      <c r="AI803" s="181"/>
      <c r="AJ803" s="181"/>
      <c r="AK803" s="181"/>
      <c r="AL803" s="181"/>
      <c r="AM803" s="181"/>
      <c r="AN803" s="181"/>
      <c r="AO803" s="181"/>
      <c r="AP803" s="181"/>
      <c r="AQ803" s="181"/>
      <c r="AR803" s="181"/>
      <c r="AS803" s="181"/>
      <c r="AT803" s="181"/>
      <c r="AU803" s="181"/>
      <c r="AV803" s="181"/>
      <c r="AW803" s="181"/>
    </row>
    <row r="804" spans="1:49" ht="13.5" customHeight="1" x14ac:dyDescent="0.3">
      <c r="A804" s="1"/>
      <c r="B804" s="181"/>
      <c r="C804" s="181"/>
      <c r="D804" s="181"/>
      <c r="E804" s="182"/>
      <c r="F804" s="182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  <c r="AC804" s="181"/>
      <c r="AD804" s="181"/>
      <c r="AE804" s="181"/>
      <c r="AF804" s="181"/>
      <c r="AG804" s="181"/>
      <c r="AH804" s="181"/>
      <c r="AI804" s="181"/>
      <c r="AJ804" s="181"/>
      <c r="AK804" s="181"/>
      <c r="AL804" s="181"/>
      <c r="AM804" s="181"/>
      <c r="AN804" s="181"/>
      <c r="AO804" s="181"/>
      <c r="AP804" s="181"/>
      <c r="AQ804" s="181"/>
      <c r="AR804" s="181"/>
      <c r="AS804" s="181"/>
      <c r="AT804" s="181"/>
      <c r="AU804" s="181"/>
      <c r="AV804" s="181"/>
      <c r="AW804" s="181"/>
    </row>
    <row r="805" spans="1:49" ht="13.5" customHeight="1" x14ac:dyDescent="0.3">
      <c r="A805" s="1"/>
      <c r="B805" s="181"/>
      <c r="C805" s="181"/>
      <c r="D805" s="181"/>
      <c r="E805" s="182"/>
      <c r="F805" s="182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  <c r="AC805" s="181"/>
      <c r="AD805" s="181"/>
      <c r="AE805" s="181"/>
      <c r="AF805" s="181"/>
      <c r="AG805" s="181"/>
      <c r="AH805" s="181"/>
      <c r="AI805" s="181"/>
      <c r="AJ805" s="181"/>
      <c r="AK805" s="181"/>
      <c r="AL805" s="181"/>
      <c r="AM805" s="181"/>
      <c r="AN805" s="181"/>
      <c r="AO805" s="181"/>
      <c r="AP805" s="181"/>
      <c r="AQ805" s="181"/>
      <c r="AR805" s="181"/>
      <c r="AS805" s="181"/>
      <c r="AT805" s="181"/>
      <c r="AU805" s="181"/>
      <c r="AV805" s="181"/>
      <c r="AW805" s="181"/>
    </row>
    <row r="806" spans="1:49" ht="13.5" customHeight="1" x14ac:dyDescent="0.3">
      <c r="A806" s="1"/>
      <c r="B806" s="181"/>
      <c r="C806" s="181"/>
      <c r="D806" s="181"/>
      <c r="E806" s="182"/>
      <c r="F806" s="182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  <c r="AC806" s="181"/>
      <c r="AD806" s="181"/>
      <c r="AE806" s="181"/>
      <c r="AF806" s="181"/>
      <c r="AG806" s="181"/>
      <c r="AH806" s="181"/>
      <c r="AI806" s="181"/>
      <c r="AJ806" s="181"/>
      <c r="AK806" s="181"/>
      <c r="AL806" s="181"/>
      <c r="AM806" s="181"/>
      <c r="AN806" s="181"/>
      <c r="AO806" s="181"/>
      <c r="AP806" s="181"/>
      <c r="AQ806" s="181"/>
      <c r="AR806" s="181"/>
      <c r="AS806" s="181"/>
      <c r="AT806" s="181"/>
      <c r="AU806" s="181"/>
      <c r="AV806" s="181"/>
      <c r="AW806" s="181"/>
    </row>
    <row r="807" spans="1:49" ht="13.5" customHeight="1" x14ac:dyDescent="0.3">
      <c r="A807" s="1"/>
      <c r="B807" s="181"/>
      <c r="C807" s="181"/>
      <c r="D807" s="181"/>
      <c r="E807" s="182"/>
      <c r="F807" s="182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  <c r="AC807" s="181"/>
      <c r="AD807" s="181"/>
      <c r="AE807" s="181"/>
      <c r="AF807" s="181"/>
      <c r="AG807" s="181"/>
      <c r="AH807" s="181"/>
      <c r="AI807" s="181"/>
      <c r="AJ807" s="181"/>
      <c r="AK807" s="181"/>
      <c r="AL807" s="181"/>
      <c r="AM807" s="181"/>
      <c r="AN807" s="181"/>
      <c r="AO807" s="181"/>
      <c r="AP807" s="181"/>
      <c r="AQ807" s="181"/>
      <c r="AR807" s="181"/>
      <c r="AS807" s="181"/>
      <c r="AT807" s="181"/>
      <c r="AU807" s="181"/>
      <c r="AV807" s="181"/>
      <c r="AW807" s="181"/>
    </row>
    <row r="808" spans="1:49" ht="13.5" customHeight="1" x14ac:dyDescent="0.3">
      <c r="A808" s="1"/>
      <c r="B808" s="181"/>
      <c r="C808" s="181"/>
      <c r="D808" s="181"/>
      <c r="E808" s="182"/>
      <c r="F808" s="182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  <c r="AC808" s="181"/>
      <c r="AD808" s="181"/>
      <c r="AE808" s="181"/>
      <c r="AF808" s="181"/>
      <c r="AG808" s="181"/>
      <c r="AH808" s="181"/>
      <c r="AI808" s="181"/>
      <c r="AJ808" s="181"/>
      <c r="AK808" s="181"/>
      <c r="AL808" s="181"/>
      <c r="AM808" s="181"/>
      <c r="AN808" s="181"/>
      <c r="AO808" s="181"/>
      <c r="AP808" s="181"/>
      <c r="AQ808" s="181"/>
      <c r="AR808" s="181"/>
      <c r="AS808" s="181"/>
      <c r="AT808" s="181"/>
      <c r="AU808" s="181"/>
      <c r="AV808" s="181"/>
      <c r="AW808" s="181"/>
    </row>
    <row r="809" spans="1:49" ht="13.5" customHeight="1" x14ac:dyDescent="0.3">
      <c r="A809" s="1"/>
      <c r="B809" s="181"/>
      <c r="C809" s="181"/>
      <c r="D809" s="181"/>
      <c r="E809" s="182"/>
      <c r="F809" s="182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  <c r="AC809" s="181"/>
      <c r="AD809" s="181"/>
      <c r="AE809" s="181"/>
      <c r="AF809" s="181"/>
      <c r="AG809" s="181"/>
      <c r="AH809" s="181"/>
      <c r="AI809" s="181"/>
      <c r="AJ809" s="181"/>
      <c r="AK809" s="181"/>
      <c r="AL809" s="181"/>
      <c r="AM809" s="181"/>
      <c r="AN809" s="181"/>
      <c r="AO809" s="181"/>
      <c r="AP809" s="181"/>
      <c r="AQ809" s="181"/>
      <c r="AR809" s="181"/>
      <c r="AS809" s="181"/>
      <c r="AT809" s="181"/>
      <c r="AU809" s="181"/>
      <c r="AV809" s="181"/>
      <c r="AW809" s="181"/>
    </row>
    <row r="810" spans="1:49" ht="13.5" customHeight="1" x14ac:dyDescent="0.3">
      <c r="A810" s="1"/>
      <c r="B810" s="181"/>
      <c r="C810" s="181"/>
      <c r="D810" s="181"/>
      <c r="E810" s="182"/>
      <c r="F810" s="182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  <c r="AC810" s="181"/>
      <c r="AD810" s="181"/>
      <c r="AE810" s="181"/>
      <c r="AF810" s="181"/>
      <c r="AG810" s="181"/>
      <c r="AH810" s="181"/>
      <c r="AI810" s="181"/>
      <c r="AJ810" s="181"/>
      <c r="AK810" s="181"/>
      <c r="AL810" s="181"/>
      <c r="AM810" s="181"/>
      <c r="AN810" s="181"/>
      <c r="AO810" s="181"/>
      <c r="AP810" s="181"/>
      <c r="AQ810" s="181"/>
      <c r="AR810" s="181"/>
      <c r="AS810" s="181"/>
      <c r="AT810" s="181"/>
      <c r="AU810" s="181"/>
      <c r="AV810" s="181"/>
      <c r="AW810" s="181"/>
    </row>
    <row r="811" spans="1:49" ht="13.5" customHeight="1" x14ac:dyDescent="0.3">
      <c r="A811" s="1"/>
      <c r="B811" s="181"/>
      <c r="C811" s="181"/>
      <c r="D811" s="181"/>
      <c r="E811" s="182"/>
      <c r="F811" s="182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  <c r="AC811" s="181"/>
      <c r="AD811" s="181"/>
      <c r="AE811" s="181"/>
      <c r="AF811" s="181"/>
      <c r="AG811" s="181"/>
      <c r="AH811" s="181"/>
      <c r="AI811" s="181"/>
      <c r="AJ811" s="181"/>
      <c r="AK811" s="181"/>
      <c r="AL811" s="181"/>
      <c r="AM811" s="181"/>
      <c r="AN811" s="181"/>
      <c r="AO811" s="181"/>
      <c r="AP811" s="181"/>
      <c r="AQ811" s="181"/>
      <c r="AR811" s="181"/>
      <c r="AS811" s="181"/>
      <c r="AT811" s="181"/>
      <c r="AU811" s="181"/>
      <c r="AV811" s="181"/>
      <c r="AW811" s="181"/>
    </row>
    <row r="812" spans="1:49" ht="13.5" customHeight="1" x14ac:dyDescent="0.3">
      <c r="A812" s="1"/>
      <c r="B812" s="181"/>
      <c r="C812" s="181"/>
      <c r="D812" s="181"/>
      <c r="E812" s="182"/>
      <c r="F812" s="182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  <c r="AC812" s="181"/>
      <c r="AD812" s="181"/>
      <c r="AE812" s="181"/>
      <c r="AF812" s="181"/>
      <c r="AG812" s="181"/>
      <c r="AH812" s="181"/>
      <c r="AI812" s="181"/>
      <c r="AJ812" s="181"/>
      <c r="AK812" s="181"/>
      <c r="AL812" s="181"/>
      <c r="AM812" s="181"/>
      <c r="AN812" s="181"/>
      <c r="AO812" s="181"/>
      <c r="AP812" s="181"/>
      <c r="AQ812" s="181"/>
      <c r="AR812" s="181"/>
      <c r="AS812" s="181"/>
      <c r="AT812" s="181"/>
      <c r="AU812" s="181"/>
      <c r="AV812" s="181"/>
      <c r="AW812" s="181"/>
    </row>
    <row r="813" spans="1:49" ht="13.5" customHeight="1" x14ac:dyDescent="0.3">
      <c r="A813" s="1"/>
      <c r="B813" s="181"/>
      <c r="C813" s="181"/>
      <c r="D813" s="181"/>
      <c r="E813" s="182"/>
      <c r="F813" s="182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  <c r="AC813" s="181"/>
      <c r="AD813" s="181"/>
      <c r="AE813" s="181"/>
      <c r="AF813" s="181"/>
      <c r="AG813" s="181"/>
      <c r="AH813" s="181"/>
      <c r="AI813" s="181"/>
      <c r="AJ813" s="181"/>
      <c r="AK813" s="181"/>
      <c r="AL813" s="181"/>
      <c r="AM813" s="181"/>
      <c r="AN813" s="181"/>
      <c r="AO813" s="181"/>
      <c r="AP813" s="181"/>
      <c r="AQ813" s="181"/>
      <c r="AR813" s="181"/>
      <c r="AS813" s="181"/>
      <c r="AT813" s="181"/>
      <c r="AU813" s="181"/>
      <c r="AV813" s="181"/>
      <c r="AW813" s="181"/>
    </row>
    <row r="814" spans="1:49" ht="13.5" customHeight="1" x14ac:dyDescent="0.3">
      <c r="A814" s="1"/>
      <c r="B814" s="181"/>
      <c r="C814" s="181"/>
      <c r="D814" s="181"/>
      <c r="E814" s="182"/>
      <c r="F814" s="182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  <c r="AC814" s="181"/>
      <c r="AD814" s="181"/>
      <c r="AE814" s="181"/>
      <c r="AF814" s="181"/>
      <c r="AG814" s="181"/>
      <c r="AH814" s="181"/>
      <c r="AI814" s="181"/>
      <c r="AJ814" s="181"/>
      <c r="AK814" s="181"/>
      <c r="AL814" s="181"/>
      <c r="AM814" s="181"/>
      <c r="AN814" s="181"/>
      <c r="AO814" s="181"/>
      <c r="AP814" s="181"/>
      <c r="AQ814" s="181"/>
      <c r="AR814" s="181"/>
      <c r="AS814" s="181"/>
      <c r="AT814" s="181"/>
      <c r="AU814" s="181"/>
      <c r="AV814" s="181"/>
      <c r="AW814" s="181"/>
    </row>
    <row r="815" spans="1:49" ht="13.5" customHeight="1" x14ac:dyDescent="0.3">
      <c r="A815" s="1"/>
      <c r="B815" s="181"/>
      <c r="C815" s="181"/>
      <c r="D815" s="181"/>
      <c r="E815" s="182"/>
      <c r="F815" s="182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  <c r="AC815" s="181"/>
      <c r="AD815" s="181"/>
      <c r="AE815" s="181"/>
      <c r="AF815" s="181"/>
      <c r="AG815" s="181"/>
      <c r="AH815" s="181"/>
      <c r="AI815" s="181"/>
      <c r="AJ815" s="181"/>
      <c r="AK815" s="181"/>
      <c r="AL815" s="181"/>
      <c r="AM815" s="181"/>
      <c r="AN815" s="181"/>
      <c r="AO815" s="181"/>
      <c r="AP815" s="181"/>
      <c r="AQ815" s="181"/>
      <c r="AR815" s="181"/>
      <c r="AS815" s="181"/>
      <c r="AT815" s="181"/>
      <c r="AU815" s="181"/>
      <c r="AV815" s="181"/>
      <c r="AW815" s="181"/>
    </row>
    <row r="816" spans="1:49" ht="13.5" customHeight="1" x14ac:dyDescent="0.3">
      <c r="A816" s="1"/>
      <c r="B816" s="181"/>
      <c r="C816" s="181"/>
      <c r="D816" s="181"/>
      <c r="E816" s="182"/>
      <c r="F816" s="182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  <c r="AC816" s="181"/>
      <c r="AD816" s="181"/>
      <c r="AE816" s="181"/>
      <c r="AF816" s="181"/>
      <c r="AG816" s="181"/>
      <c r="AH816" s="181"/>
      <c r="AI816" s="181"/>
      <c r="AJ816" s="181"/>
      <c r="AK816" s="181"/>
      <c r="AL816" s="181"/>
      <c r="AM816" s="181"/>
      <c r="AN816" s="181"/>
      <c r="AO816" s="181"/>
      <c r="AP816" s="181"/>
      <c r="AQ816" s="181"/>
      <c r="AR816" s="181"/>
      <c r="AS816" s="181"/>
      <c r="AT816" s="181"/>
      <c r="AU816" s="181"/>
      <c r="AV816" s="181"/>
      <c r="AW816" s="181"/>
    </row>
    <row r="817" spans="1:49" ht="13.5" customHeight="1" x14ac:dyDescent="0.3">
      <c r="A817" s="1"/>
      <c r="B817" s="181"/>
      <c r="C817" s="181"/>
      <c r="D817" s="181"/>
      <c r="E817" s="182"/>
      <c r="F817" s="182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  <c r="AC817" s="181"/>
      <c r="AD817" s="181"/>
      <c r="AE817" s="181"/>
      <c r="AF817" s="181"/>
      <c r="AG817" s="181"/>
      <c r="AH817" s="181"/>
      <c r="AI817" s="181"/>
      <c r="AJ817" s="181"/>
      <c r="AK817" s="181"/>
      <c r="AL817" s="181"/>
      <c r="AM817" s="181"/>
      <c r="AN817" s="181"/>
      <c r="AO817" s="181"/>
      <c r="AP817" s="181"/>
      <c r="AQ817" s="181"/>
      <c r="AR817" s="181"/>
      <c r="AS817" s="181"/>
      <c r="AT817" s="181"/>
      <c r="AU817" s="181"/>
      <c r="AV817" s="181"/>
      <c r="AW817" s="181"/>
    </row>
    <row r="818" spans="1:49" ht="13.5" customHeight="1" x14ac:dyDescent="0.3">
      <c r="A818" s="1"/>
      <c r="B818" s="181"/>
      <c r="C818" s="181"/>
      <c r="D818" s="181"/>
      <c r="E818" s="182"/>
      <c r="F818" s="182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  <c r="AC818" s="181"/>
      <c r="AD818" s="181"/>
      <c r="AE818" s="181"/>
      <c r="AF818" s="181"/>
      <c r="AG818" s="181"/>
      <c r="AH818" s="181"/>
      <c r="AI818" s="181"/>
      <c r="AJ818" s="181"/>
      <c r="AK818" s="181"/>
      <c r="AL818" s="181"/>
      <c r="AM818" s="181"/>
      <c r="AN818" s="181"/>
      <c r="AO818" s="181"/>
      <c r="AP818" s="181"/>
      <c r="AQ818" s="181"/>
      <c r="AR818" s="181"/>
      <c r="AS818" s="181"/>
      <c r="AT818" s="181"/>
      <c r="AU818" s="181"/>
      <c r="AV818" s="181"/>
      <c r="AW818" s="181"/>
    </row>
    <row r="819" spans="1:49" ht="13.5" customHeight="1" x14ac:dyDescent="0.3">
      <c r="A819" s="1"/>
      <c r="B819" s="181"/>
      <c r="C819" s="181"/>
      <c r="D819" s="181"/>
      <c r="E819" s="182"/>
      <c r="F819" s="182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  <c r="AC819" s="181"/>
      <c r="AD819" s="181"/>
      <c r="AE819" s="181"/>
      <c r="AF819" s="181"/>
      <c r="AG819" s="181"/>
      <c r="AH819" s="181"/>
      <c r="AI819" s="181"/>
      <c r="AJ819" s="181"/>
      <c r="AK819" s="181"/>
      <c r="AL819" s="181"/>
      <c r="AM819" s="181"/>
      <c r="AN819" s="181"/>
      <c r="AO819" s="181"/>
      <c r="AP819" s="181"/>
      <c r="AQ819" s="181"/>
      <c r="AR819" s="181"/>
      <c r="AS819" s="181"/>
      <c r="AT819" s="181"/>
      <c r="AU819" s="181"/>
      <c r="AV819" s="181"/>
      <c r="AW819" s="181"/>
    </row>
    <row r="820" spans="1:49" ht="13.5" customHeight="1" x14ac:dyDescent="0.3">
      <c r="A820" s="1"/>
      <c r="B820" s="181"/>
      <c r="C820" s="181"/>
      <c r="D820" s="181"/>
      <c r="E820" s="182"/>
      <c r="F820" s="182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  <c r="AC820" s="181"/>
      <c r="AD820" s="181"/>
      <c r="AE820" s="181"/>
      <c r="AF820" s="181"/>
      <c r="AG820" s="181"/>
      <c r="AH820" s="181"/>
      <c r="AI820" s="181"/>
      <c r="AJ820" s="181"/>
      <c r="AK820" s="181"/>
      <c r="AL820" s="181"/>
      <c r="AM820" s="181"/>
      <c r="AN820" s="181"/>
      <c r="AO820" s="181"/>
      <c r="AP820" s="181"/>
      <c r="AQ820" s="181"/>
      <c r="AR820" s="181"/>
      <c r="AS820" s="181"/>
      <c r="AT820" s="181"/>
      <c r="AU820" s="181"/>
      <c r="AV820" s="181"/>
      <c r="AW820" s="181"/>
    </row>
    <row r="821" spans="1:49" ht="13.5" customHeight="1" x14ac:dyDescent="0.3">
      <c r="A821" s="1"/>
      <c r="B821" s="181"/>
      <c r="C821" s="181"/>
      <c r="D821" s="181"/>
      <c r="E821" s="182"/>
      <c r="F821" s="182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  <c r="AC821" s="181"/>
      <c r="AD821" s="181"/>
      <c r="AE821" s="181"/>
      <c r="AF821" s="181"/>
      <c r="AG821" s="181"/>
      <c r="AH821" s="181"/>
      <c r="AI821" s="181"/>
      <c r="AJ821" s="181"/>
      <c r="AK821" s="181"/>
      <c r="AL821" s="181"/>
      <c r="AM821" s="181"/>
      <c r="AN821" s="181"/>
      <c r="AO821" s="181"/>
      <c r="AP821" s="181"/>
      <c r="AQ821" s="181"/>
      <c r="AR821" s="181"/>
      <c r="AS821" s="181"/>
      <c r="AT821" s="181"/>
      <c r="AU821" s="181"/>
      <c r="AV821" s="181"/>
      <c r="AW821" s="181"/>
    </row>
    <row r="822" spans="1:49" ht="13.5" customHeight="1" x14ac:dyDescent="0.3">
      <c r="A822" s="1"/>
      <c r="B822" s="181"/>
      <c r="C822" s="181"/>
      <c r="D822" s="181"/>
      <c r="E822" s="182"/>
      <c r="F822" s="182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  <c r="AC822" s="181"/>
      <c r="AD822" s="181"/>
      <c r="AE822" s="181"/>
      <c r="AF822" s="181"/>
      <c r="AG822" s="181"/>
      <c r="AH822" s="181"/>
      <c r="AI822" s="181"/>
      <c r="AJ822" s="181"/>
      <c r="AK822" s="181"/>
      <c r="AL822" s="181"/>
      <c r="AM822" s="181"/>
      <c r="AN822" s="181"/>
      <c r="AO822" s="181"/>
      <c r="AP822" s="181"/>
      <c r="AQ822" s="181"/>
      <c r="AR822" s="181"/>
      <c r="AS822" s="181"/>
      <c r="AT822" s="181"/>
      <c r="AU822" s="181"/>
      <c r="AV822" s="181"/>
      <c r="AW822" s="181"/>
    </row>
    <row r="823" spans="1:49" ht="13.5" customHeight="1" x14ac:dyDescent="0.3">
      <c r="A823" s="1"/>
      <c r="B823" s="181"/>
      <c r="C823" s="181"/>
      <c r="D823" s="181"/>
      <c r="E823" s="182"/>
      <c r="F823" s="182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  <c r="AC823" s="181"/>
      <c r="AD823" s="181"/>
      <c r="AE823" s="181"/>
      <c r="AF823" s="181"/>
      <c r="AG823" s="181"/>
      <c r="AH823" s="181"/>
      <c r="AI823" s="181"/>
      <c r="AJ823" s="181"/>
      <c r="AK823" s="181"/>
      <c r="AL823" s="181"/>
      <c r="AM823" s="181"/>
      <c r="AN823" s="181"/>
      <c r="AO823" s="181"/>
      <c r="AP823" s="181"/>
      <c r="AQ823" s="181"/>
      <c r="AR823" s="181"/>
      <c r="AS823" s="181"/>
      <c r="AT823" s="181"/>
      <c r="AU823" s="181"/>
      <c r="AV823" s="181"/>
      <c r="AW823" s="181"/>
    </row>
    <row r="824" spans="1:49" ht="13.5" customHeight="1" x14ac:dyDescent="0.3">
      <c r="A824" s="1"/>
      <c r="B824" s="181"/>
      <c r="C824" s="181"/>
      <c r="D824" s="181"/>
      <c r="E824" s="182"/>
      <c r="F824" s="182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  <c r="AC824" s="181"/>
      <c r="AD824" s="181"/>
      <c r="AE824" s="181"/>
      <c r="AF824" s="181"/>
      <c r="AG824" s="181"/>
      <c r="AH824" s="181"/>
      <c r="AI824" s="181"/>
      <c r="AJ824" s="181"/>
      <c r="AK824" s="181"/>
      <c r="AL824" s="181"/>
      <c r="AM824" s="181"/>
      <c r="AN824" s="181"/>
      <c r="AO824" s="181"/>
      <c r="AP824" s="181"/>
      <c r="AQ824" s="181"/>
      <c r="AR824" s="181"/>
      <c r="AS824" s="181"/>
      <c r="AT824" s="181"/>
      <c r="AU824" s="181"/>
      <c r="AV824" s="181"/>
      <c r="AW824" s="181"/>
    </row>
    <row r="825" spans="1:49" ht="13.5" customHeight="1" x14ac:dyDescent="0.3">
      <c r="A825" s="1"/>
      <c r="B825" s="181"/>
      <c r="C825" s="181"/>
      <c r="D825" s="181"/>
      <c r="E825" s="182"/>
      <c r="F825" s="182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  <c r="AC825" s="181"/>
      <c r="AD825" s="181"/>
      <c r="AE825" s="181"/>
      <c r="AF825" s="181"/>
      <c r="AG825" s="181"/>
      <c r="AH825" s="181"/>
      <c r="AI825" s="181"/>
      <c r="AJ825" s="181"/>
      <c r="AK825" s="181"/>
      <c r="AL825" s="181"/>
      <c r="AM825" s="181"/>
      <c r="AN825" s="181"/>
      <c r="AO825" s="181"/>
      <c r="AP825" s="181"/>
      <c r="AQ825" s="181"/>
      <c r="AR825" s="181"/>
      <c r="AS825" s="181"/>
      <c r="AT825" s="181"/>
      <c r="AU825" s="181"/>
      <c r="AV825" s="181"/>
      <c r="AW825" s="181"/>
    </row>
    <row r="826" spans="1:49" ht="13.5" customHeight="1" x14ac:dyDescent="0.3">
      <c r="A826" s="1"/>
      <c r="B826" s="181"/>
      <c r="C826" s="181"/>
      <c r="D826" s="181"/>
      <c r="E826" s="182"/>
      <c r="F826" s="182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  <c r="AC826" s="181"/>
      <c r="AD826" s="181"/>
      <c r="AE826" s="181"/>
      <c r="AF826" s="181"/>
      <c r="AG826" s="181"/>
      <c r="AH826" s="181"/>
      <c r="AI826" s="181"/>
      <c r="AJ826" s="181"/>
      <c r="AK826" s="181"/>
      <c r="AL826" s="181"/>
      <c r="AM826" s="181"/>
      <c r="AN826" s="181"/>
      <c r="AO826" s="181"/>
      <c r="AP826" s="181"/>
      <c r="AQ826" s="181"/>
      <c r="AR826" s="181"/>
      <c r="AS826" s="181"/>
      <c r="AT826" s="181"/>
      <c r="AU826" s="181"/>
      <c r="AV826" s="181"/>
      <c r="AW826" s="181"/>
    </row>
    <row r="827" spans="1:49" ht="13.5" customHeight="1" x14ac:dyDescent="0.3">
      <c r="A827" s="1"/>
      <c r="B827" s="181"/>
      <c r="C827" s="181"/>
      <c r="D827" s="181"/>
      <c r="E827" s="182"/>
      <c r="F827" s="182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  <c r="AC827" s="181"/>
      <c r="AD827" s="181"/>
      <c r="AE827" s="181"/>
      <c r="AF827" s="181"/>
      <c r="AG827" s="181"/>
      <c r="AH827" s="181"/>
      <c r="AI827" s="181"/>
      <c r="AJ827" s="181"/>
      <c r="AK827" s="181"/>
      <c r="AL827" s="181"/>
      <c r="AM827" s="181"/>
      <c r="AN827" s="181"/>
      <c r="AO827" s="181"/>
      <c r="AP827" s="181"/>
      <c r="AQ827" s="181"/>
      <c r="AR827" s="181"/>
      <c r="AS827" s="181"/>
      <c r="AT827" s="181"/>
      <c r="AU827" s="181"/>
      <c r="AV827" s="181"/>
      <c r="AW827" s="181"/>
    </row>
    <row r="828" spans="1:49" ht="13.5" customHeight="1" x14ac:dyDescent="0.3">
      <c r="A828" s="1"/>
      <c r="B828" s="181"/>
      <c r="C828" s="181"/>
      <c r="D828" s="181"/>
      <c r="E828" s="182"/>
      <c r="F828" s="182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  <c r="AC828" s="181"/>
      <c r="AD828" s="181"/>
      <c r="AE828" s="181"/>
      <c r="AF828" s="181"/>
      <c r="AG828" s="181"/>
      <c r="AH828" s="181"/>
      <c r="AI828" s="181"/>
      <c r="AJ828" s="181"/>
      <c r="AK828" s="181"/>
      <c r="AL828" s="181"/>
      <c r="AM828" s="181"/>
      <c r="AN828" s="181"/>
      <c r="AO828" s="181"/>
      <c r="AP828" s="181"/>
      <c r="AQ828" s="181"/>
      <c r="AR828" s="181"/>
      <c r="AS828" s="181"/>
      <c r="AT828" s="181"/>
      <c r="AU828" s="181"/>
      <c r="AV828" s="181"/>
      <c r="AW828" s="181"/>
    </row>
    <row r="829" spans="1:49" ht="13.5" customHeight="1" x14ac:dyDescent="0.3">
      <c r="A829" s="1"/>
      <c r="B829" s="181"/>
      <c r="C829" s="181"/>
      <c r="D829" s="181"/>
      <c r="E829" s="182"/>
      <c r="F829" s="182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  <c r="AC829" s="181"/>
      <c r="AD829" s="181"/>
      <c r="AE829" s="181"/>
      <c r="AF829" s="181"/>
      <c r="AG829" s="181"/>
      <c r="AH829" s="181"/>
      <c r="AI829" s="181"/>
      <c r="AJ829" s="181"/>
      <c r="AK829" s="181"/>
      <c r="AL829" s="181"/>
      <c r="AM829" s="181"/>
      <c r="AN829" s="181"/>
      <c r="AO829" s="181"/>
      <c r="AP829" s="181"/>
      <c r="AQ829" s="181"/>
      <c r="AR829" s="181"/>
      <c r="AS829" s="181"/>
      <c r="AT829" s="181"/>
      <c r="AU829" s="181"/>
      <c r="AV829" s="181"/>
      <c r="AW829" s="181"/>
    </row>
    <row r="830" spans="1:49" ht="13.5" customHeight="1" x14ac:dyDescent="0.3">
      <c r="A830" s="1"/>
      <c r="B830" s="181"/>
      <c r="C830" s="181"/>
      <c r="D830" s="181"/>
      <c r="E830" s="182"/>
      <c r="F830" s="182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  <c r="AC830" s="181"/>
      <c r="AD830" s="181"/>
      <c r="AE830" s="181"/>
      <c r="AF830" s="181"/>
      <c r="AG830" s="181"/>
      <c r="AH830" s="181"/>
      <c r="AI830" s="181"/>
      <c r="AJ830" s="181"/>
      <c r="AK830" s="181"/>
      <c r="AL830" s="181"/>
      <c r="AM830" s="181"/>
      <c r="AN830" s="181"/>
      <c r="AO830" s="181"/>
      <c r="AP830" s="181"/>
      <c r="AQ830" s="181"/>
      <c r="AR830" s="181"/>
      <c r="AS830" s="181"/>
      <c r="AT830" s="181"/>
      <c r="AU830" s="181"/>
      <c r="AV830" s="181"/>
      <c r="AW830" s="181"/>
    </row>
    <row r="831" spans="1:49" ht="13.5" customHeight="1" x14ac:dyDescent="0.3">
      <c r="A831" s="1"/>
      <c r="B831" s="181"/>
      <c r="C831" s="181"/>
      <c r="D831" s="181"/>
      <c r="E831" s="182"/>
      <c r="F831" s="182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  <c r="AC831" s="181"/>
      <c r="AD831" s="181"/>
      <c r="AE831" s="181"/>
      <c r="AF831" s="181"/>
      <c r="AG831" s="181"/>
      <c r="AH831" s="181"/>
      <c r="AI831" s="181"/>
      <c r="AJ831" s="181"/>
      <c r="AK831" s="181"/>
      <c r="AL831" s="181"/>
      <c r="AM831" s="181"/>
      <c r="AN831" s="181"/>
      <c r="AO831" s="181"/>
      <c r="AP831" s="181"/>
      <c r="AQ831" s="181"/>
      <c r="AR831" s="181"/>
      <c r="AS831" s="181"/>
      <c r="AT831" s="181"/>
      <c r="AU831" s="181"/>
      <c r="AV831" s="181"/>
      <c r="AW831" s="181"/>
    </row>
    <row r="832" spans="1:49" ht="13.5" customHeight="1" x14ac:dyDescent="0.3">
      <c r="A832" s="1"/>
      <c r="B832" s="181"/>
      <c r="C832" s="181"/>
      <c r="D832" s="181"/>
      <c r="E832" s="182"/>
      <c r="F832" s="182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  <c r="AC832" s="181"/>
      <c r="AD832" s="181"/>
      <c r="AE832" s="181"/>
      <c r="AF832" s="181"/>
      <c r="AG832" s="181"/>
      <c r="AH832" s="181"/>
      <c r="AI832" s="181"/>
      <c r="AJ832" s="181"/>
      <c r="AK832" s="181"/>
      <c r="AL832" s="181"/>
      <c r="AM832" s="181"/>
      <c r="AN832" s="181"/>
      <c r="AO832" s="181"/>
      <c r="AP832" s="181"/>
      <c r="AQ832" s="181"/>
      <c r="AR832" s="181"/>
      <c r="AS832" s="181"/>
      <c r="AT832" s="181"/>
      <c r="AU832" s="181"/>
      <c r="AV832" s="181"/>
      <c r="AW832" s="181"/>
    </row>
    <row r="833" spans="1:49" ht="13.5" customHeight="1" x14ac:dyDescent="0.3">
      <c r="A833" s="1"/>
      <c r="B833" s="181"/>
      <c r="C833" s="181"/>
      <c r="D833" s="181"/>
      <c r="E833" s="182"/>
      <c r="F833" s="182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  <c r="AC833" s="181"/>
      <c r="AD833" s="181"/>
      <c r="AE833" s="181"/>
      <c r="AF833" s="181"/>
      <c r="AG833" s="181"/>
      <c r="AH833" s="181"/>
      <c r="AI833" s="181"/>
      <c r="AJ833" s="181"/>
      <c r="AK833" s="181"/>
      <c r="AL833" s="181"/>
      <c r="AM833" s="181"/>
      <c r="AN833" s="181"/>
      <c r="AO833" s="181"/>
      <c r="AP833" s="181"/>
      <c r="AQ833" s="181"/>
      <c r="AR833" s="181"/>
      <c r="AS833" s="181"/>
      <c r="AT833" s="181"/>
      <c r="AU833" s="181"/>
      <c r="AV833" s="181"/>
      <c r="AW833" s="181"/>
    </row>
    <row r="834" spans="1:49" ht="13.5" customHeight="1" x14ac:dyDescent="0.3">
      <c r="A834" s="1"/>
      <c r="B834" s="181"/>
      <c r="C834" s="181"/>
      <c r="D834" s="181"/>
      <c r="E834" s="182"/>
      <c r="F834" s="182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  <c r="AC834" s="181"/>
      <c r="AD834" s="181"/>
      <c r="AE834" s="181"/>
      <c r="AF834" s="181"/>
      <c r="AG834" s="181"/>
      <c r="AH834" s="181"/>
      <c r="AI834" s="181"/>
      <c r="AJ834" s="181"/>
      <c r="AK834" s="181"/>
      <c r="AL834" s="181"/>
      <c r="AM834" s="181"/>
      <c r="AN834" s="181"/>
      <c r="AO834" s="181"/>
      <c r="AP834" s="181"/>
      <c r="AQ834" s="181"/>
      <c r="AR834" s="181"/>
      <c r="AS834" s="181"/>
      <c r="AT834" s="181"/>
      <c r="AU834" s="181"/>
      <c r="AV834" s="181"/>
      <c r="AW834" s="181"/>
    </row>
    <row r="835" spans="1:49" ht="13.5" customHeight="1" x14ac:dyDescent="0.3">
      <c r="A835" s="1"/>
      <c r="B835" s="181"/>
      <c r="C835" s="181"/>
      <c r="D835" s="181"/>
      <c r="E835" s="182"/>
      <c r="F835" s="182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  <c r="AC835" s="181"/>
      <c r="AD835" s="181"/>
      <c r="AE835" s="181"/>
      <c r="AF835" s="181"/>
      <c r="AG835" s="181"/>
      <c r="AH835" s="181"/>
      <c r="AI835" s="181"/>
      <c r="AJ835" s="181"/>
      <c r="AK835" s="181"/>
      <c r="AL835" s="181"/>
      <c r="AM835" s="181"/>
      <c r="AN835" s="181"/>
      <c r="AO835" s="181"/>
      <c r="AP835" s="181"/>
      <c r="AQ835" s="181"/>
      <c r="AR835" s="181"/>
      <c r="AS835" s="181"/>
      <c r="AT835" s="181"/>
      <c r="AU835" s="181"/>
      <c r="AV835" s="181"/>
      <c r="AW835" s="181"/>
    </row>
    <row r="836" spans="1:49" ht="13.5" customHeight="1" x14ac:dyDescent="0.3">
      <c r="A836" s="1"/>
      <c r="B836" s="181"/>
      <c r="C836" s="181"/>
      <c r="D836" s="181"/>
      <c r="E836" s="182"/>
      <c r="F836" s="182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  <c r="AC836" s="181"/>
      <c r="AD836" s="181"/>
      <c r="AE836" s="181"/>
      <c r="AF836" s="181"/>
      <c r="AG836" s="181"/>
      <c r="AH836" s="181"/>
      <c r="AI836" s="181"/>
      <c r="AJ836" s="181"/>
      <c r="AK836" s="181"/>
      <c r="AL836" s="181"/>
      <c r="AM836" s="181"/>
      <c r="AN836" s="181"/>
      <c r="AO836" s="181"/>
      <c r="AP836" s="181"/>
      <c r="AQ836" s="181"/>
      <c r="AR836" s="181"/>
      <c r="AS836" s="181"/>
      <c r="AT836" s="181"/>
      <c r="AU836" s="181"/>
      <c r="AV836" s="181"/>
      <c r="AW836" s="181"/>
    </row>
    <row r="837" spans="1:49" ht="13.5" customHeight="1" x14ac:dyDescent="0.3">
      <c r="A837" s="1"/>
      <c r="B837" s="181"/>
      <c r="C837" s="181"/>
      <c r="D837" s="181"/>
      <c r="E837" s="182"/>
      <c r="F837" s="182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  <c r="AC837" s="181"/>
      <c r="AD837" s="181"/>
      <c r="AE837" s="181"/>
      <c r="AF837" s="181"/>
      <c r="AG837" s="181"/>
      <c r="AH837" s="181"/>
      <c r="AI837" s="181"/>
      <c r="AJ837" s="181"/>
      <c r="AK837" s="181"/>
      <c r="AL837" s="181"/>
      <c r="AM837" s="181"/>
      <c r="AN837" s="181"/>
      <c r="AO837" s="181"/>
      <c r="AP837" s="181"/>
      <c r="AQ837" s="181"/>
      <c r="AR837" s="181"/>
      <c r="AS837" s="181"/>
      <c r="AT837" s="181"/>
      <c r="AU837" s="181"/>
      <c r="AV837" s="181"/>
      <c r="AW837" s="181"/>
    </row>
    <row r="838" spans="1:49" ht="13.5" customHeight="1" x14ac:dyDescent="0.3">
      <c r="A838" s="1"/>
      <c r="B838" s="181"/>
      <c r="C838" s="181"/>
      <c r="D838" s="181"/>
      <c r="E838" s="182"/>
      <c r="F838" s="182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  <c r="AC838" s="181"/>
      <c r="AD838" s="181"/>
      <c r="AE838" s="181"/>
      <c r="AF838" s="181"/>
      <c r="AG838" s="181"/>
      <c r="AH838" s="181"/>
      <c r="AI838" s="181"/>
      <c r="AJ838" s="181"/>
      <c r="AK838" s="181"/>
      <c r="AL838" s="181"/>
      <c r="AM838" s="181"/>
      <c r="AN838" s="181"/>
      <c r="AO838" s="181"/>
      <c r="AP838" s="181"/>
      <c r="AQ838" s="181"/>
      <c r="AR838" s="181"/>
      <c r="AS838" s="181"/>
      <c r="AT838" s="181"/>
      <c r="AU838" s="181"/>
      <c r="AV838" s="181"/>
      <c r="AW838" s="181"/>
    </row>
    <row r="839" spans="1:49" ht="13.5" customHeight="1" x14ac:dyDescent="0.3">
      <c r="A839" s="1"/>
      <c r="B839" s="181"/>
      <c r="C839" s="181"/>
      <c r="D839" s="181"/>
      <c r="E839" s="182"/>
      <c r="F839" s="182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  <c r="AC839" s="181"/>
      <c r="AD839" s="181"/>
      <c r="AE839" s="181"/>
      <c r="AF839" s="181"/>
      <c r="AG839" s="181"/>
      <c r="AH839" s="181"/>
      <c r="AI839" s="181"/>
      <c r="AJ839" s="181"/>
      <c r="AK839" s="181"/>
      <c r="AL839" s="181"/>
      <c r="AM839" s="181"/>
      <c r="AN839" s="181"/>
      <c r="AO839" s="181"/>
      <c r="AP839" s="181"/>
      <c r="AQ839" s="181"/>
      <c r="AR839" s="181"/>
      <c r="AS839" s="181"/>
      <c r="AT839" s="181"/>
      <c r="AU839" s="181"/>
      <c r="AV839" s="181"/>
      <c r="AW839" s="181"/>
    </row>
    <row r="840" spans="1:49" ht="13.5" customHeight="1" x14ac:dyDescent="0.3">
      <c r="A840" s="1"/>
      <c r="B840" s="181"/>
      <c r="C840" s="181"/>
      <c r="D840" s="181"/>
      <c r="E840" s="182"/>
      <c r="F840" s="182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  <c r="AC840" s="181"/>
      <c r="AD840" s="181"/>
      <c r="AE840" s="181"/>
      <c r="AF840" s="181"/>
      <c r="AG840" s="181"/>
      <c r="AH840" s="181"/>
      <c r="AI840" s="181"/>
      <c r="AJ840" s="181"/>
      <c r="AK840" s="181"/>
      <c r="AL840" s="181"/>
      <c r="AM840" s="181"/>
      <c r="AN840" s="181"/>
      <c r="AO840" s="181"/>
      <c r="AP840" s="181"/>
      <c r="AQ840" s="181"/>
      <c r="AR840" s="181"/>
      <c r="AS840" s="181"/>
      <c r="AT840" s="181"/>
      <c r="AU840" s="181"/>
      <c r="AV840" s="181"/>
      <c r="AW840" s="181"/>
    </row>
    <row r="841" spans="1:49" ht="13.5" customHeight="1" x14ac:dyDescent="0.3">
      <c r="A841" s="1"/>
      <c r="B841" s="181"/>
      <c r="C841" s="181"/>
      <c r="D841" s="181"/>
      <c r="E841" s="182"/>
      <c r="F841" s="182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  <c r="AC841" s="181"/>
      <c r="AD841" s="181"/>
      <c r="AE841" s="181"/>
      <c r="AF841" s="181"/>
      <c r="AG841" s="181"/>
      <c r="AH841" s="181"/>
      <c r="AI841" s="181"/>
      <c r="AJ841" s="181"/>
      <c r="AK841" s="181"/>
      <c r="AL841" s="181"/>
      <c r="AM841" s="181"/>
      <c r="AN841" s="181"/>
      <c r="AO841" s="181"/>
      <c r="AP841" s="181"/>
      <c r="AQ841" s="181"/>
      <c r="AR841" s="181"/>
      <c r="AS841" s="181"/>
      <c r="AT841" s="181"/>
      <c r="AU841" s="181"/>
      <c r="AV841" s="181"/>
      <c r="AW841" s="181"/>
    </row>
    <row r="842" spans="1:49" ht="13.5" customHeight="1" x14ac:dyDescent="0.3">
      <c r="A842" s="1"/>
      <c r="B842" s="181"/>
      <c r="C842" s="181"/>
      <c r="D842" s="181"/>
      <c r="E842" s="182"/>
      <c r="F842" s="182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  <c r="AC842" s="181"/>
      <c r="AD842" s="181"/>
      <c r="AE842" s="181"/>
      <c r="AF842" s="181"/>
      <c r="AG842" s="181"/>
      <c r="AH842" s="181"/>
      <c r="AI842" s="181"/>
      <c r="AJ842" s="181"/>
      <c r="AK842" s="181"/>
      <c r="AL842" s="181"/>
      <c r="AM842" s="181"/>
      <c r="AN842" s="181"/>
      <c r="AO842" s="181"/>
      <c r="AP842" s="181"/>
      <c r="AQ842" s="181"/>
      <c r="AR842" s="181"/>
      <c r="AS842" s="181"/>
      <c r="AT842" s="181"/>
      <c r="AU842" s="181"/>
      <c r="AV842" s="181"/>
      <c r="AW842" s="181"/>
    </row>
    <row r="843" spans="1:49" ht="13.5" customHeight="1" x14ac:dyDescent="0.3">
      <c r="A843" s="1"/>
      <c r="B843" s="181"/>
      <c r="C843" s="181"/>
      <c r="D843" s="181"/>
      <c r="E843" s="182"/>
      <c r="F843" s="182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  <c r="AC843" s="181"/>
      <c r="AD843" s="181"/>
      <c r="AE843" s="181"/>
      <c r="AF843" s="181"/>
      <c r="AG843" s="181"/>
      <c r="AH843" s="181"/>
      <c r="AI843" s="181"/>
      <c r="AJ843" s="181"/>
      <c r="AK843" s="181"/>
      <c r="AL843" s="181"/>
      <c r="AM843" s="181"/>
      <c r="AN843" s="181"/>
      <c r="AO843" s="181"/>
      <c r="AP843" s="181"/>
      <c r="AQ843" s="181"/>
      <c r="AR843" s="181"/>
      <c r="AS843" s="181"/>
      <c r="AT843" s="181"/>
      <c r="AU843" s="181"/>
      <c r="AV843" s="181"/>
      <c r="AW843" s="181"/>
    </row>
    <row r="844" spans="1:49" ht="13.5" customHeight="1" x14ac:dyDescent="0.3">
      <c r="A844" s="1"/>
      <c r="B844" s="181"/>
      <c r="C844" s="181"/>
      <c r="D844" s="181"/>
      <c r="E844" s="182"/>
      <c r="F844" s="182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  <c r="AC844" s="181"/>
      <c r="AD844" s="181"/>
      <c r="AE844" s="181"/>
      <c r="AF844" s="181"/>
      <c r="AG844" s="181"/>
      <c r="AH844" s="181"/>
      <c r="AI844" s="181"/>
      <c r="AJ844" s="181"/>
      <c r="AK844" s="181"/>
      <c r="AL844" s="181"/>
      <c r="AM844" s="181"/>
      <c r="AN844" s="181"/>
      <c r="AO844" s="181"/>
      <c r="AP844" s="181"/>
      <c r="AQ844" s="181"/>
      <c r="AR844" s="181"/>
      <c r="AS844" s="181"/>
      <c r="AT844" s="181"/>
      <c r="AU844" s="181"/>
      <c r="AV844" s="181"/>
      <c r="AW844" s="181"/>
    </row>
    <row r="845" spans="1:49" ht="13.5" customHeight="1" x14ac:dyDescent="0.3">
      <c r="A845" s="1"/>
      <c r="B845" s="181"/>
      <c r="C845" s="181"/>
      <c r="D845" s="181"/>
      <c r="E845" s="182"/>
      <c r="F845" s="182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  <c r="AC845" s="181"/>
      <c r="AD845" s="181"/>
      <c r="AE845" s="181"/>
      <c r="AF845" s="181"/>
      <c r="AG845" s="181"/>
      <c r="AH845" s="181"/>
      <c r="AI845" s="181"/>
      <c r="AJ845" s="181"/>
      <c r="AK845" s="181"/>
      <c r="AL845" s="181"/>
      <c r="AM845" s="181"/>
      <c r="AN845" s="181"/>
      <c r="AO845" s="181"/>
      <c r="AP845" s="181"/>
      <c r="AQ845" s="181"/>
      <c r="AR845" s="181"/>
      <c r="AS845" s="181"/>
      <c r="AT845" s="181"/>
      <c r="AU845" s="181"/>
      <c r="AV845" s="181"/>
      <c r="AW845" s="181"/>
    </row>
    <row r="846" spans="1:49" ht="13.5" customHeight="1" x14ac:dyDescent="0.3">
      <c r="A846" s="1"/>
      <c r="B846" s="181"/>
      <c r="C846" s="181"/>
      <c r="D846" s="181"/>
      <c r="E846" s="182"/>
      <c r="F846" s="182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  <c r="AC846" s="181"/>
      <c r="AD846" s="181"/>
      <c r="AE846" s="181"/>
      <c r="AF846" s="181"/>
      <c r="AG846" s="181"/>
      <c r="AH846" s="181"/>
      <c r="AI846" s="181"/>
      <c r="AJ846" s="181"/>
      <c r="AK846" s="181"/>
      <c r="AL846" s="181"/>
      <c r="AM846" s="181"/>
      <c r="AN846" s="181"/>
      <c r="AO846" s="181"/>
      <c r="AP846" s="181"/>
      <c r="AQ846" s="181"/>
      <c r="AR846" s="181"/>
      <c r="AS846" s="181"/>
      <c r="AT846" s="181"/>
      <c r="AU846" s="181"/>
      <c r="AV846" s="181"/>
      <c r="AW846" s="181"/>
    </row>
    <row r="847" spans="1:49" ht="13.5" customHeight="1" x14ac:dyDescent="0.3">
      <c r="A847" s="1"/>
      <c r="B847" s="181"/>
      <c r="C847" s="181"/>
      <c r="D847" s="181"/>
      <c r="E847" s="182"/>
      <c r="F847" s="182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  <c r="AC847" s="181"/>
      <c r="AD847" s="181"/>
      <c r="AE847" s="181"/>
      <c r="AF847" s="181"/>
      <c r="AG847" s="181"/>
      <c r="AH847" s="181"/>
      <c r="AI847" s="181"/>
      <c r="AJ847" s="181"/>
      <c r="AK847" s="181"/>
      <c r="AL847" s="181"/>
      <c r="AM847" s="181"/>
      <c r="AN847" s="181"/>
      <c r="AO847" s="181"/>
      <c r="AP847" s="181"/>
      <c r="AQ847" s="181"/>
      <c r="AR847" s="181"/>
      <c r="AS847" s="181"/>
      <c r="AT847" s="181"/>
      <c r="AU847" s="181"/>
      <c r="AV847" s="181"/>
      <c r="AW847" s="181"/>
    </row>
    <row r="848" spans="1:49" ht="13.5" customHeight="1" x14ac:dyDescent="0.3">
      <c r="A848" s="1"/>
      <c r="B848" s="181"/>
      <c r="C848" s="181"/>
      <c r="D848" s="181"/>
      <c r="E848" s="182"/>
      <c r="F848" s="182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  <c r="AC848" s="181"/>
      <c r="AD848" s="181"/>
      <c r="AE848" s="181"/>
      <c r="AF848" s="181"/>
      <c r="AG848" s="181"/>
      <c r="AH848" s="181"/>
      <c r="AI848" s="181"/>
      <c r="AJ848" s="181"/>
      <c r="AK848" s="181"/>
      <c r="AL848" s="181"/>
      <c r="AM848" s="181"/>
      <c r="AN848" s="181"/>
      <c r="AO848" s="181"/>
      <c r="AP848" s="181"/>
      <c r="AQ848" s="181"/>
      <c r="AR848" s="181"/>
      <c r="AS848" s="181"/>
      <c r="AT848" s="181"/>
      <c r="AU848" s="181"/>
      <c r="AV848" s="181"/>
      <c r="AW848" s="181"/>
    </row>
    <row r="849" spans="1:49" ht="13.5" customHeight="1" x14ac:dyDescent="0.3">
      <c r="A849" s="1"/>
      <c r="B849" s="181"/>
      <c r="C849" s="181"/>
      <c r="D849" s="181"/>
      <c r="E849" s="182"/>
      <c r="F849" s="182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  <c r="AC849" s="181"/>
      <c r="AD849" s="181"/>
      <c r="AE849" s="181"/>
      <c r="AF849" s="181"/>
      <c r="AG849" s="181"/>
      <c r="AH849" s="181"/>
      <c r="AI849" s="181"/>
      <c r="AJ849" s="181"/>
      <c r="AK849" s="181"/>
      <c r="AL849" s="181"/>
      <c r="AM849" s="181"/>
      <c r="AN849" s="181"/>
      <c r="AO849" s="181"/>
      <c r="AP849" s="181"/>
      <c r="AQ849" s="181"/>
      <c r="AR849" s="181"/>
      <c r="AS849" s="181"/>
      <c r="AT849" s="181"/>
      <c r="AU849" s="181"/>
      <c r="AV849" s="181"/>
      <c r="AW849" s="181"/>
    </row>
    <row r="850" spans="1:49" ht="13.5" customHeight="1" x14ac:dyDescent="0.3">
      <c r="A850" s="1"/>
      <c r="B850" s="181"/>
      <c r="C850" s="181"/>
      <c r="D850" s="181"/>
      <c r="E850" s="182"/>
      <c r="F850" s="182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  <c r="AC850" s="181"/>
      <c r="AD850" s="181"/>
      <c r="AE850" s="181"/>
      <c r="AF850" s="181"/>
      <c r="AG850" s="181"/>
      <c r="AH850" s="181"/>
      <c r="AI850" s="181"/>
      <c r="AJ850" s="181"/>
      <c r="AK850" s="181"/>
      <c r="AL850" s="181"/>
      <c r="AM850" s="181"/>
      <c r="AN850" s="181"/>
      <c r="AO850" s="181"/>
      <c r="AP850" s="181"/>
      <c r="AQ850" s="181"/>
      <c r="AR850" s="181"/>
      <c r="AS850" s="181"/>
      <c r="AT850" s="181"/>
      <c r="AU850" s="181"/>
      <c r="AV850" s="181"/>
      <c r="AW850" s="181"/>
    </row>
    <row r="851" spans="1:49" ht="13.5" customHeight="1" x14ac:dyDescent="0.3">
      <c r="A851" s="1"/>
      <c r="B851" s="181"/>
      <c r="C851" s="181"/>
      <c r="D851" s="181"/>
      <c r="E851" s="182"/>
      <c r="F851" s="182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  <c r="AC851" s="181"/>
      <c r="AD851" s="181"/>
      <c r="AE851" s="181"/>
      <c r="AF851" s="181"/>
      <c r="AG851" s="181"/>
      <c r="AH851" s="181"/>
      <c r="AI851" s="181"/>
      <c r="AJ851" s="181"/>
      <c r="AK851" s="181"/>
      <c r="AL851" s="181"/>
      <c r="AM851" s="181"/>
      <c r="AN851" s="181"/>
      <c r="AO851" s="181"/>
      <c r="AP851" s="181"/>
      <c r="AQ851" s="181"/>
      <c r="AR851" s="181"/>
      <c r="AS851" s="181"/>
      <c r="AT851" s="181"/>
      <c r="AU851" s="181"/>
      <c r="AV851" s="181"/>
      <c r="AW851" s="181"/>
    </row>
    <row r="852" spans="1:49" ht="13.5" customHeight="1" x14ac:dyDescent="0.3">
      <c r="A852" s="1"/>
      <c r="B852" s="181"/>
      <c r="C852" s="181"/>
      <c r="D852" s="181"/>
      <c r="E852" s="182"/>
      <c r="F852" s="182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  <c r="AC852" s="181"/>
      <c r="AD852" s="181"/>
      <c r="AE852" s="181"/>
      <c r="AF852" s="181"/>
      <c r="AG852" s="181"/>
      <c r="AH852" s="181"/>
      <c r="AI852" s="181"/>
      <c r="AJ852" s="181"/>
      <c r="AK852" s="181"/>
      <c r="AL852" s="181"/>
      <c r="AM852" s="181"/>
      <c r="AN852" s="181"/>
      <c r="AO852" s="181"/>
      <c r="AP852" s="181"/>
      <c r="AQ852" s="181"/>
      <c r="AR852" s="181"/>
      <c r="AS852" s="181"/>
      <c r="AT852" s="181"/>
      <c r="AU852" s="181"/>
      <c r="AV852" s="181"/>
      <c r="AW852" s="181"/>
    </row>
    <row r="853" spans="1:49" ht="13.5" customHeight="1" x14ac:dyDescent="0.3">
      <c r="A853" s="1"/>
      <c r="B853" s="181"/>
      <c r="C853" s="181"/>
      <c r="D853" s="181"/>
      <c r="E853" s="182"/>
      <c r="F853" s="182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  <c r="AC853" s="181"/>
      <c r="AD853" s="181"/>
      <c r="AE853" s="181"/>
      <c r="AF853" s="181"/>
      <c r="AG853" s="181"/>
      <c r="AH853" s="181"/>
      <c r="AI853" s="181"/>
      <c r="AJ853" s="181"/>
      <c r="AK853" s="181"/>
      <c r="AL853" s="181"/>
      <c r="AM853" s="181"/>
      <c r="AN853" s="181"/>
      <c r="AO853" s="181"/>
      <c r="AP853" s="181"/>
      <c r="AQ853" s="181"/>
      <c r="AR853" s="181"/>
      <c r="AS853" s="181"/>
      <c r="AT853" s="181"/>
      <c r="AU853" s="181"/>
      <c r="AV853" s="181"/>
      <c r="AW853" s="181"/>
    </row>
    <row r="854" spans="1:49" ht="13.5" customHeight="1" x14ac:dyDescent="0.3">
      <c r="A854" s="1"/>
      <c r="B854" s="181"/>
      <c r="C854" s="181"/>
      <c r="D854" s="181"/>
      <c r="E854" s="182"/>
      <c r="F854" s="182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  <c r="AC854" s="181"/>
      <c r="AD854" s="181"/>
      <c r="AE854" s="181"/>
      <c r="AF854" s="181"/>
      <c r="AG854" s="181"/>
      <c r="AH854" s="181"/>
      <c r="AI854" s="181"/>
      <c r="AJ854" s="181"/>
      <c r="AK854" s="181"/>
      <c r="AL854" s="181"/>
      <c r="AM854" s="181"/>
      <c r="AN854" s="181"/>
      <c r="AO854" s="181"/>
      <c r="AP854" s="181"/>
      <c r="AQ854" s="181"/>
      <c r="AR854" s="181"/>
      <c r="AS854" s="181"/>
      <c r="AT854" s="181"/>
      <c r="AU854" s="181"/>
      <c r="AV854" s="181"/>
      <c r="AW854" s="181"/>
    </row>
    <row r="855" spans="1:49" ht="13.5" customHeight="1" x14ac:dyDescent="0.3">
      <c r="A855" s="1"/>
      <c r="B855" s="181"/>
      <c r="C855" s="181"/>
      <c r="D855" s="181"/>
      <c r="E855" s="182"/>
      <c r="F855" s="182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  <c r="AC855" s="181"/>
      <c r="AD855" s="181"/>
      <c r="AE855" s="181"/>
      <c r="AF855" s="181"/>
      <c r="AG855" s="181"/>
      <c r="AH855" s="181"/>
      <c r="AI855" s="181"/>
      <c r="AJ855" s="181"/>
      <c r="AK855" s="181"/>
      <c r="AL855" s="181"/>
      <c r="AM855" s="181"/>
      <c r="AN855" s="181"/>
      <c r="AO855" s="181"/>
      <c r="AP855" s="181"/>
      <c r="AQ855" s="181"/>
      <c r="AR855" s="181"/>
      <c r="AS855" s="181"/>
      <c r="AT855" s="181"/>
      <c r="AU855" s="181"/>
      <c r="AV855" s="181"/>
      <c r="AW855" s="181"/>
    </row>
    <row r="856" spans="1:49" ht="13.5" customHeight="1" x14ac:dyDescent="0.3">
      <c r="A856" s="1"/>
      <c r="B856" s="181"/>
      <c r="C856" s="181"/>
      <c r="D856" s="181"/>
      <c r="E856" s="182"/>
      <c r="F856" s="182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  <c r="AC856" s="181"/>
      <c r="AD856" s="181"/>
      <c r="AE856" s="181"/>
      <c r="AF856" s="181"/>
      <c r="AG856" s="181"/>
      <c r="AH856" s="181"/>
      <c r="AI856" s="181"/>
      <c r="AJ856" s="181"/>
      <c r="AK856" s="181"/>
      <c r="AL856" s="181"/>
      <c r="AM856" s="181"/>
      <c r="AN856" s="181"/>
      <c r="AO856" s="181"/>
      <c r="AP856" s="181"/>
      <c r="AQ856" s="181"/>
      <c r="AR856" s="181"/>
      <c r="AS856" s="181"/>
      <c r="AT856" s="181"/>
      <c r="AU856" s="181"/>
      <c r="AV856" s="181"/>
      <c r="AW856" s="181"/>
    </row>
    <row r="857" spans="1:49" ht="13.5" customHeight="1" x14ac:dyDescent="0.3">
      <c r="A857" s="1"/>
      <c r="B857" s="181"/>
      <c r="C857" s="181"/>
      <c r="D857" s="181"/>
      <c r="E857" s="182"/>
      <c r="F857" s="182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  <c r="AC857" s="181"/>
      <c r="AD857" s="181"/>
      <c r="AE857" s="181"/>
      <c r="AF857" s="181"/>
      <c r="AG857" s="181"/>
      <c r="AH857" s="181"/>
      <c r="AI857" s="181"/>
      <c r="AJ857" s="181"/>
      <c r="AK857" s="181"/>
      <c r="AL857" s="181"/>
      <c r="AM857" s="181"/>
      <c r="AN857" s="181"/>
      <c r="AO857" s="181"/>
      <c r="AP857" s="181"/>
      <c r="AQ857" s="181"/>
      <c r="AR857" s="181"/>
      <c r="AS857" s="181"/>
      <c r="AT857" s="181"/>
      <c r="AU857" s="181"/>
      <c r="AV857" s="181"/>
      <c r="AW857" s="181"/>
    </row>
    <row r="858" spans="1:49" ht="13.5" customHeight="1" x14ac:dyDescent="0.3">
      <c r="A858" s="1"/>
      <c r="B858" s="181"/>
      <c r="C858" s="181"/>
      <c r="D858" s="181"/>
      <c r="E858" s="182"/>
      <c r="F858" s="182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  <c r="AC858" s="181"/>
      <c r="AD858" s="181"/>
      <c r="AE858" s="181"/>
      <c r="AF858" s="181"/>
      <c r="AG858" s="181"/>
      <c r="AH858" s="181"/>
      <c r="AI858" s="181"/>
      <c r="AJ858" s="181"/>
      <c r="AK858" s="181"/>
      <c r="AL858" s="181"/>
      <c r="AM858" s="181"/>
      <c r="AN858" s="181"/>
      <c r="AO858" s="181"/>
      <c r="AP858" s="181"/>
      <c r="AQ858" s="181"/>
      <c r="AR858" s="181"/>
      <c r="AS858" s="181"/>
      <c r="AT858" s="181"/>
      <c r="AU858" s="181"/>
      <c r="AV858" s="181"/>
      <c r="AW858" s="181"/>
    </row>
    <row r="859" spans="1:49" ht="13.5" customHeight="1" x14ac:dyDescent="0.3">
      <c r="A859" s="1"/>
      <c r="B859" s="181"/>
      <c r="C859" s="181"/>
      <c r="D859" s="181"/>
      <c r="E859" s="182"/>
      <c r="F859" s="182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  <c r="AC859" s="181"/>
      <c r="AD859" s="181"/>
      <c r="AE859" s="181"/>
      <c r="AF859" s="181"/>
      <c r="AG859" s="181"/>
      <c r="AH859" s="181"/>
      <c r="AI859" s="181"/>
      <c r="AJ859" s="181"/>
      <c r="AK859" s="181"/>
      <c r="AL859" s="181"/>
      <c r="AM859" s="181"/>
      <c r="AN859" s="181"/>
      <c r="AO859" s="181"/>
      <c r="AP859" s="181"/>
      <c r="AQ859" s="181"/>
      <c r="AR859" s="181"/>
      <c r="AS859" s="181"/>
      <c r="AT859" s="181"/>
      <c r="AU859" s="181"/>
      <c r="AV859" s="181"/>
      <c r="AW859" s="181"/>
    </row>
    <row r="860" spans="1:49" ht="13.5" customHeight="1" x14ac:dyDescent="0.3">
      <c r="A860" s="1"/>
      <c r="B860" s="181"/>
      <c r="C860" s="181"/>
      <c r="D860" s="181"/>
      <c r="E860" s="182"/>
      <c r="F860" s="182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  <c r="AC860" s="181"/>
      <c r="AD860" s="181"/>
      <c r="AE860" s="181"/>
      <c r="AF860" s="181"/>
      <c r="AG860" s="181"/>
      <c r="AH860" s="181"/>
      <c r="AI860" s="181"/>
      <c r="AJ860" s="181"/>
      <c r="AK860" s="181"/>
      <c r="AL860" s="181"/>
      <c r="AM860" s="181"/>
      <c r="AN860" s="181"/>
      <c r="AO860" s="181"/>
      <c r="AP860" s="181"/>
      <c r="AQ860" s="181"/>
      <c r="AR860" s="181"/>
      <c r="AS860" s="181"/>
      <c r="AT860" s="181"/>
      <c r="AU860" s="181"/>
      <c r="AV860" s="181"/>
      <c r="AW860" s="181"/>
    </row>
    <row r="861" spans="1:49" ht="13.5" customHeight="1" x14ac:dyDescent="0.3">
      <c r="A861" s="1"/>
      <c r="B861" s="181"/>
      <c r="C861" s="181"/>
      <c r="D861" s="181"/>
      <c r="E861" s="182"/>
      <c r="F861" s="182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  <c r="AC861" s="181"/>
      <c r="AD861" s="181"/>
      <c r="AE861" s="181"/>
      <c r="AF861" s="181"/>
      <c r="AG861" s="181"/>
      <c r="AH861" s="181"/>
      <c r="AI861" s="181"/>
      <c r="AJ861" s="181"/>
      <c r="AK861" s="181"/>
      <c r="AL861" s="181"/>
      <c r="AM861" s="181"/>
      <c r="AN861" s="181"/>
      <c r="AO861" s="181"/>
      <c r="AP861" s="181"/>
      <c r="AQ861" s="181"/>
      <c r="AR861" s="181"/>
      <c r="AS861" s="181"/>
      <c r="AT861" s="181"/>
      <c r="AU861" s="181"/>
      <c r="AV861" s="181"/>
      <c r="AW861" s="181"/>
    </row>
    <row r="862" spans="1:49" ht="13.5" customHeight="1" x14ac:dyDescent="0.3">
      <c r="A862" s="1"/>
      <c r="B862" s="181"/>
      <c r="C862" s="181"/>
      <c r="D862" s="181"/>
      <c r="E862" s="182"/>
      <c r="F862" s="182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  <c r="AC862" s="181"/>
      <c r="AD862" s="181"/>
      <c r="AE862" s="181"/>
      <c r="AF862" s="181"/>
      <c r="AG862" s="181"/>
      <c r="AH862" s="181"/>
      <c r="AI862" s="181"/>
      <c r="AJ862" s="181"/>
      <c r="AK862" s="181"/>
      <c r="AL862" s="181"/>
      <c r="AM862" s="181"/>
      <c r="AN862" s="181"/>
      <c r="AO862" s="181"/>
      <c r="AP862" s="181"/>
      <c r="AQ862" s="181"/>
      <c r="AR862" s="181"/>
      <c r="AS862" s="181"/>
      <c r="AT862" s="181"/>
      <c r="AU862" s="181"/>
      <c r="AV862" s="181"/>
      <c r="AW862" s="181"/>
    </row>
    <row r="863" spans="1:49" ht="13.5" customHeight="1" x14ac:dyDescent="0.3">
      <c r="A863" s="1"/>
      <c r="B863" s="181"/>
      <c r="C863" s="181"/>
      <c r="D863" s="181"/>
      <c r="E863" s="182"/>
      <c r="F863" s="182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  <c r="AC863" s="181"/>
      <c r="AD863" s="181"/>
      <c r="AE863" s="181"/>
      <c r="AF863" s="181"/>
      <c r="AG863" s="181"/>
      <c r="AH863" s="181"/>
      <c r="AI863" s="181"/>
      <c r="AJ863" s="181"/>
      <c r="AK863" s="181"/>
      <c r="AL863" s="181"/>
      <c r="AM863" s="181"/>
      <c r="AN863" s="181"/>
      <c r="AO863" s="181"/>
      <c r="AP863" s="181"/>
      <c r="AQ863" s="181"/>
      <c r="AR863" s="181"/>
      <c r="AS863" s="181"/>
      <c r="AT863" s="181"/>
      <c r="AU863" s="181"/>
      <c r="AV863" s="181"/>
      <c r="AW863" s="181"/>
    </row>
    <row r="864" spans="1:49" ht="13.5" customHeight="1" x14ac:dyDescent="0.3">
      <c r="A864" s="1"/>
      <c r="B864" s="181"/>
      <c r="C864" s="181"/>
      <c r="D864" s="181"/>
      <c r="E864" s="182"/>
      <c r="F864" s="182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  <c r="AC864" s="181"/>
      <c r="AD864" s="181"/>
      <c r="AE864" s="181"/>
      <c r="AF864" s="181"/>
      <c r="AG864" s="181"/>
      <c r="AH864" s="181"/>
      <c r="AI864" s="181"/>
      <c r="AJ864" s="181"/>
      <c r="AK864" s="181"/>
      <c r="AL864" s="181"/>
      <c r="AM864" s="181"/>
      <c r="AN864" s="181"/>
      <c r="AO864" s="181"/>
      <c r="AP864" s="181"/>
      <c r="AQ864" s="181"/>
      <c r="AR864" s="181"/>
      <c r="AS864" s="181"/>
      <c r="AT864" s="181"/>
      <c r="AU864" s="181"/>
      <c r="AV864" s="181"/>
      <c r="AW864" s="181"/>
    </row>
    <row r="865" spans="1:49" ht="13.5" customHeight="1" x14ac:dyDescent="0.3">
      <c r="A865" s="1"/>
      <c r="B865" s="181"/>
      <c r="C865" s="181"/>
      <c r="D865" s="181"/>
      <c r="E865" s="182"/>
      <c r="F865" s="182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  <c r="AC865" s="181"/>
      <c r="AD865" s="181"/>
      <c r="AE865" s="181"/>
      <c r="AF865" s="181"/>
      <c r="AG865" s="181"/>
      <c r="AH865" s="181"/>
      <c r="AI865" s="181"/>
      <c r="AJ865" s="181"/>
      <c r="AK865" s="181"/>
      <c r="AL865" s="181"/>
      <c r="AM865" s="181"/>
      <c r="AN865" s="181"/>
      <c r="AO865" s="181"/>
      <c r="AP865" s="181"/>
      <c r="AQ865" s="181"/>
      <c r="AR865" s="181"/>
      <c r="AS865" s="181"/>
      <c r="AT865" s="181"/>
      <c r="AU865" s="181"/>
      <c r="AV865" s="181"/>
      <c r="AW865" s="181"/>
    </row>
    <row r="866" spans="1:49" ht="13.5" customHeight="1" x14ac:dyDescent="0.3">
      <c r="A866" s="1"/>
      <c r="B866" s="181"/>
      <c r="C866" s="181"/>
      <c r="D866" s="181"/>
      <c r="E866" s="182"/>
      <c r="F866" s="182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  <c r="AC866" s="181"/>
      <c r="AD866" s="181"/>
      <c r="AE866" s="181"/>
      <c r="AF866" s="181"/>
      <c r="AG866" s="181"/>
      <c r="AH866" s="181"/>
      <c r="AI866" s="181"/>
      <c r="AJ866" s="181"/>
      <c r="AK866" s="181"/>
      <c r="AL866" s="181"/>
      <c r="AM866" s="181"/>
      <c r="AN866" s="181"/>
      <c r="AO866" s="181"/>
      <c r="AP866" s="181"/>
      <c r="AQ866" s="181"/>
      <c r="AR866" s="181"/>
      <c r="AS866" s="181"/>
      <c r="AT866" s="181"/>
      <c r="AU866" s="181"/>
      <c r="AV866" s="181"/>
      <c r="AW866" s="181"/>
    </row>
    <row r="867" spans="1:49" ht="13.5" customHeight="1" x14ac:dyDescent="0.3">
      <c r="A867" s="1"/>
      <c r="B867" s="181"/>
      <c r="C867" s="181"/>
      <c r="D867" s="181"/>
      <c r="E867" s="182"/>
      <c r="F867" s="182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  <c r="AC867" s="181"/>
      <c r="AD867" s="181"/>
      <c r="AE867" s="181"/>
      <c r="AF867" s="181"/>
      <c r="AG867" s="181"/>
      <c r="AH867" s="181"/>
      <c r="AI867" s="181"/>
      <c r="AJ867" s="181"/>
      <c r="AK867" s="181"/>
      <c r="AL867" s="181"/>
      <c r="AM867" s="181"/>
      <c r="AN867" s="181"/>
      <c r="AO867" s="181"/>
      <c r="AP867" s="181"/>
      <c r="AQ867" s="181"/>
      <c r="AR867" s="181"/>
      <c r="AS867" s="181"/>
      <c r="AT867" s="181"/>
      <c r="AU867" s="181"/>
      <c r="AV867" s="181"/>
      <c r="AW867" s="181"/>
    </row>
    <row r="868" spans="1:49" ht="13.5" customHeight="1" x14ac:dyDescent="0.3">
      <c r="A868" s="1"/>
      <c r="B868" s="181"/>
      <c r="C868" s="181"/>
      <c r="D868" s="181"/>
      <c r="E868" s="182"/>
      <c r="F868" s="182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  <c r="AC868" s="181"/>
      <c r="AD868" s="181"/>
      <c r="AE868" s="181"/>
      <c r="AF868" s="181"/>
      <c r="AG868" s="181"/>
      <c r="AH868" s="181"/>
      <c r="AI868" s="181"/>
      <c r="AJ868" s="181"/>
      <c r="AK868" s="181"/>
      <c r="AL868" s="181"/>
      <c r="AM868" s="181"/>
      <c r="AN868" s="181"/>
      <c r="AO868" s="181"/>
      <c r="AP868" s="181"/>
      <c r="AQ868" s="181"/>
      <c r="AR868" s="181"/>
      <c r="AS868" s="181"/>
      <c r="AT868" s="181"/>
      <c r="AU868" s="181"/>
      <c r="AV868" s="181"/>
      <c r="AW868" s="181"/>
    </row>
    <row r="869" spans="1:49" ht="13.5" customHeight="1" x14ac:dyDescent="0.3">
      <c r="A869" s="1"/>
      <c r="B869" s="181"/>
      <c r="C869" s="181"/>
      <c r="D869" s="181"/>
      <c r="E869" s="182"/>
      <c r="F869" s="182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  <c r="AC869" s="181"/>
      <c r="AD869" s="181"/>
      <c r="AE869" s="181"/>
      <c r="AF869" s="181"/>
      <c r="AG869" s="181"/>
      <c r="AH869" s="181"/>
      <c r="AI869" s="181"/>
      <c r="AJ869" s="181"/>
      <c r="AK869" s="181"/>
      <c r="AL869" s="181"/>
      <c r="AM869" s="181"/>
      <c r="AN869" s="181"/>
      <c r="AO869" s="181"/>
      <c r="AP869" s="181"/>
      <c r="AQ869" s="181"/>
      <c r="AR869" s="181"/>
      <c r="AS869" s="181"/>
      <c r="AT869" s="181"/>
      <c r="AU869" s="181"/>
      <c r="AV869" s="181"/>
      <c r="AW869" s="181"/>
    </row>
    <row r="870" spans="1:49" ht="13.5" customHeight="1" x14ac:dyDescent="0.3">
      <c r="A870" s="1"/>
      <c r="B870" s="181"/>
      <c r="C870" s="181"/>
      <c r="D870" s="181"/>
      <c r="E870" s="182"/>
      <c r="F870" s="182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  <c r="AC870" s="181"/>
      <c r="AD870" s="181"/>
      <c r="AE870" s="181"/>
      <c r="AF870" s="181"/>
      <c r="AG870" s="181"/>
      <c r="AH870" s="181"/>
      <c r="AI870" s="181"/>
      <c r="AJ870" s="181"/>
      <c r="AK870" s="181"/>
      <c r="AL870" s="181"/>
      <c r="AM870" s="181"/>
      <c r="AN870" s="181"/>
      <c r="AO870" s="181"/>
      <c r="AP870" s="181"/>
      <c r="AQ870" s="181"/>
      <c r="AR870" s="181"/>
      <c r="AS870" s="181"/>
      <c r="AT870" s="181"/>
      <c r="AU870" s="181"/>
      <c r="AV870" s="181"/>
      <c r="AW870" s="181"/>
    </row>
    <row r="871" spans="1:49" ht="13.5" customHeight="1" x14ac:dyDescent="0.3">
      <c r="A871" s="1"/>
      <c r="B871" s="181"/>
      <c r="C871" s="181"/>
      <c r="D871" s="181"/>
      <c r="E871" s="182"/>
      <c r="F871" s="182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  <c r="AC871" s="181"/>
      <c r="AD871" s="181"/>
      <c r="AE871" s="181"/>
      <c r="AF871" s="181"/>
      <c r="AG871" s="181"/>
      <c r="AH871" s="181"/>
      <c r="AI871" s="181"/>
      <c r="AJ871" s="181"/>
      <c r="AK871" s="181"/>
      <c r="AL871" s="181"/>
      <c r="AM871" s="181"/>
      <c r="AN871" s="181"/>
      <c r="AO871" s="181"/>
      <c r="AP871" s="181"/>
      <c r="AQ871" s="181"/>
      <c r="AR871" s="181"/>
      <c r="AS871" s="181"/>
      <c r="AT871" s="181"/>
      <c r="AU871" s="181"/>
      <c r="AV871" s="181"/>
      <c r="AW871" s="181"/>
    </row>
    <row r="872" spans="1:49" ht="13.5" customHeight="1" x14ac:dyDescent="0.3">
      <c r="A872" s="1"/>
      <c r="B872" s="181"/>
      <c r="C872" s="181"/>
      <c r="D872" s="181"/>
      <c r="E872" s="182"/>
      <c r="F872" s="182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  <c r="AC872" s="181"/>
      <c r="AD872" s="181"/>
      <c r="AE872" s="181"/>
      <c r="AF872" s="181"/>
      <c r="AG872" s="181"/>
      <c r="AH872" s="181"/>
      <c r="AI872" s="181"/>
      <c r="AJ872" s="181"/>
      <c r="AK872" s="181"/>
      <c r="AL872" s="181"/>
      <c r="AM872" s="181"/>
      <c r="AN872" s="181"/>
      <c r="AO872" s="181"/>
      <c r="AP872" s="181"/>
      <c r="AQ872" s="181"/>
      <c r="AR872" s="181"/>
      <c r="AS872" s="181"/>
      <c r="AT872" s="181"/>
      <c r="AU872" s="181"/>
      <c r="AV872" s="181"/>
      <c r="AW872" s="181"/>
    </row>
    <row r="873" spans="1:49" ht="13.5" customHeight="1" x14ac:dyDescent="0.3">
      <c r="A873" s="1"/>
      <c r="B873" s="181"/>
      <c r="C873" s="181"/>
      <c r="D873" s="181"/>
      <c r="E873" s="182"/>
      <c r="F873" s="182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  <c r="AC873" s="181"/>
      <c r="AD873" s="181"/>
      <c r="AE873" s="181"/>
      <c r="AF873" s="181"/>
      <c r="AG873" s="181"/>
      <c r="AH873" s="181"/>
      <c r="AI873" s="181"/>
      <c r="AJ873" s="181"/>
      <c r="AK873" s="181"/>
      <c r="AL873" s="181"/>
      <c r="AM873" s="181"/>
      <c r="AN873" s="181"/>
      <c r="AO873" s="181"/>
      <c r="AP873" s="181"/>
      <c r="AQ873" s="181"/>
      <c r="AR873" s="181"/>
      <c r="AS873" s="181"/>
      <c r="AT873" s="181"/>
      <c r="AU873" s="181"/>
      <c r="AV873" s="181"/>
      <c r="AW873" s="181"/>
    </row>
    <row r="874" spans="1:49" ht="13.5" customHeight="1" x14ac:dyDescent="0.3">
      <c r="A874" s="1"/>
      <c r="B874" s="181"/>
      <c r="C874" s="181"/>
      <c r="D874" s="181"/>
      <c r="E874" s="182"/>
      <c r="F874" s="182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  <c r="AC874" s="181"/>
      <c r="AD874" s="181"/>
      <c r="AE874" s="181"/>
      <c r="AF874" s="181"/>
      <c r="AG874" s="181"/>
      <c r="AH874" s="181"/>
      <c r="AI874" s="181"/>
      <c r="AJ874" s="181"/>
      <c r="AK874" s="181"/>
      <c r="AL874" s="181"/>
      <c r="AM874" s="181"/>
      <c r="AN874" s="181"/>
      <c r="AO874" s="181"/>
      <c r="AP874" s="181"/>
      <c r="AQ874" s="181"/>
      <c r="AR874" s="181"/>
      <c r="AS874" s="181"/>
      <c r="AT874" s="181"/>
      <c r="AU874" s="181"/>
      <c r="AV874" s="181"/>
      <c r="AW874" s="181"/>
    </row>
    <row r="875" spans="1:49" ht="13.5" customHeight="1" x14ac:dyDescent="0.3">
      <c r="A875" s="1"/>
      <c r="B875" s="181"/>
      <c r="C875" s="181"/>
      <c r="D875" s="181"/>
      <c r="E875" s="182"/>
      <c r="F875" s="182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  <c r="AC875" s="181"/>
      <c r="AD875" s="181"/>
      <c r="AE875" s="181"/>
      <c r="AF875" s="181"/>
      <c r="AG875" s="181"/>
      <c r="AH875" s="181"/>
      <c r="AI875" s="181"/>
      <c r="AJ875" s="181"/>
      <c r="AK875" s="181"/>
      <c r="AL875" s="181"/>
      <c r="AM875" s="181"/>
      <c r="AN875" s="181"/>
      <c r="AO875" s="181"/>
      <c r="AP875" s="181"/>
      <c r="AQ875" s="181"/>
      <c r="AR875" s="181"/>
      <c r="AS875" s="181"/>
      <c r="AT875" s="181"/>
      <c r="AU875" s="181"/>
      <c r="AV875" s="181"/>
      <c r="AW875" s="181"/>
    </row>
    <row r="876" spans="1:49" ht="13.5" customHeight="1" x14ac:dyDescent="0.3">
      <c r="A876" s="1"/>
      <c r="B876" s="181"/>
      <c r="C876" s="181"/>
      <c r="D876" s="181"/>
      <c r="E876" s="182"/>
      <c r="F876" s="182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  <c r="AC876" s="181"/>
      <c r="AD876" s="181"/>
      <c r="AE876" s="181"/>
      <c r="AF876" s="181"/>
      <c r="AG876" s="181"/>
      <c r="AH876" s="181"/>
      <c r="AI876" s="181"/>
      <c r="AJ876" s="181"/>
      <c r="AK876" s="181"/>
      <c r="AL876" s="181"/>
      <c r="AM876" s="181"/>
      <c r="AN876" s="181"/>
      <c r="AO876" s="181"/>
      <c r="AP876" s="181"/>
      <c r="AQ876" s="181"/>
      <c r="AR876" s="181"/>
      <c r="AS876" s="181"/>
      <c r="AT876" s="181"/>
      <c r="AU876" s="181"/>
      <c r="AV876" s="181"/>
      <c r="AW876" s="181"/>
    </row>
    <row r="877" spans="1:49" ht="13.5" customHeight="1" x14ac:dyDescent="0.3">
      <c r="A877" s="1"/>
      <c r="B877" s="181"/>
      <c r="C877" s="181"/>
      <c r="D877" s="181"/>
      <c r="E877" s="182"/>
      <c r="F877" s="182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  <c r="AC877" s="181"/>
      <c r="AD877" s="181"/>
      <c r="AE877" s="181"/>
      <c r="AF877" s="181"/>
      <c r="AG877" s="181"/>
      <c r="AH877" s="181"/>
      <c r="AI877" s="181"/>
      <c r="AJ877" s="181"/>
      <c r="AK877" s="181"/>
      <c r="AL877" s="181"/>
      <c r="AM877" s="181"/>
      <c r="AN877" s="181"/>
      <c r="AO877" s="181"/>
      <c r="AP877" s="181"/>
      <c r="AQ877" s="181"/>
      <c r="AR877" s="181"/>
      <c r="AS877" s="181"/>
      <c r="AT877" s="181"/>
      <c r="AU877" s="181"/>
      <c r="AV877" s="181"/>
      <c r="AW877" s="181"/>
    </row>
    <row r="878" spans="1:49" ht="13.5" customHeight="1" x14ac:dyDescent="0.3">
      <c r="A878" s="1"/>
      <c r="B878" s="181"/>
      <c r="C878" s="181"/>
      <c r="D878" s="181"/>
      <c r="E878" s="182"/>
      <c r="F878" s="182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  <c r="AC878" s="181"/>
      <c r="AD878" s="181"/>
      <c r="AE878" s="181"/>
      <c r="AF878" s="181"/>
      <c r="AG878" s="181"/>
      <c r="AH878" s="181"/>
      <c r="AI878" s="181"/>
      <c r="AJ878" s="181"/>
      <c r="AK878" s="181"/>
      <c r="AL878" s="181"/>
      <c r="AM878" s="181"/>
      <c r="AN878" s="181"/>
      <c r="AO878" s="181"/>
      <c r="AP878" s="181"/>
      <c r="AQ878" s="181"/>
      <c r="AR878" s="181"/>
      <c r="AS878" s="181"/>
      <c r="AT878" s="181"/>
      <c r="AU878" s="181"/>
      <c r="AV878" s="181"/>
      <c r="AW878" s="181"/>
    </row>
    <row r="879" spans="1:49" ht="13.5" customHeight="1" x14ac:dyDescent="0.3">
      <c r="A879" s="1"/>
      <c r="B879" s="181"/>
      <c r="C879" s="181"/>
      <c r="D879" s="181"/>
      <c r="E879" s="182"/>
      <c r="F879" s="182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  <c r="AC879" s="181"/>
      <c r="AD879" s="181"/>
      <c r="AE879" s="181"/>
      <c r="AF879" s="181"/>
      <c r="AG879" s="181"/>
      <c r="AH879" s="181"/>
      <c r="AI879" s="181"/>
      <c r="AJ879" s="181"/>
      <c r="AK879" s="181"/>
      <c r="AL879" s="181"/>
      <c r="AM879" s="181"/>
      <c r="AN879" s="181"/>
      <c r="AO879" s="181"/>
      <c r="AP879" s="181"/>
      <c r="AQ879" s="181"/>
      <c r="AR879" s="181"/>
      <c r="AS879" s="181"/>
      <c r="AT879" s="181"/>
      <c r="AU879" s="181"/>
      <c r="AV879" s="181"/>
      <c r="AW879" s="181"/>
    </row>
    <row r="880" spans="1:49" ht="13.5" customHeight="1" x14ac:dyDescent="0.3">
      <c r="A880" s="1"/>
      <c r="B880" s="181"/>
      <c r="C880" s="181"/>
      <c r="D880" s="181"/>
      <c r="E880" s="182"/>
      <c r="F880" s="182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  <c r="AC880" s="181"/>
      <c r="AD880" s="181"/>
      <c r="AE880" s="181"/>
      <c r="AF880" s="181"/>
      <c r="AG880" s="181"/>
      <c r="AH880" s="181"/>
      <c r="AI880" s="181"/>
      <c r="AJ880" s="181"/>
      <c r="AK880" s="181"/>
      <c r="AL880" s="181"/>
      <c r="AM880" s="181"/>
      <c r="AN880" s="181"/>
      <c r="AO880" s="181"/>
      <c r="AP880" s="181"/>
      <c r="AQ880" s="181"/>
      <c r="AR880" s="181"/>
      <c r="AS880" s="181"/>
      <c r="AT880" s="181"/>
      <c r="AU880" s="181"/>
      <c r="AV880" s="181"/>
      <c r="AW880" s="181"/>
    </row>
    <row r="881" spans="1:49" ht="13.5" customHeight="1" x14ac:dyDescent="0.3">
      <c r="A881" s="1"/>
      <c r="B881" s="181"/>
      <c r="C881" s="181"/>
      <c r="D881" s="181"/>
      <c r="E881" s="182"/>
      <c r="F881" s="182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  <c r="AC881" s="181"/>
      <c r="AD881" s="181"/>
      <c r="AE881" s="181"/>
      <c r="AF881" s="181"/>
      <c r="AG881" s="181"/>
      <c r="AH881" s="181"/>
      <c r="AI881" s="181"/>
      <c r="AJ881" s="181"/>
      <c r="AK881" s="181"/>
      <c r="AL881" s="181"/>
      <c r="AM881" s="181"/>
      <c r="AN881" s="181"/>
      <c r="AO881" s="181"/>
      <c r="AP881" s="181"/>
      <c r="AQ881" s="181"/>
      <c r="AR881" s="181"/>
      <c r="AS881" s="181"/>
      <c r="AT881" s="181"/>
      <c r="AU881" s="181"/>
      <c r="AV881" s="181"/>
      <c r="AW881" s="181"/>
    </row>
    <row r="882" spans="1:49" ht="13.5" customHeight="1" x14ac:dyDescent="0.3">
      <c r="A882" s="1"/>
      <c r="B882" s="181"/>
      <c r="C882" s="181"/>
      <c r="D882" s="181"/>
      <c r="E882" s="182"/>
      <c r="F882" s="182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  <c r="AC882" s="181"/>
      <c r="AD882" s="181"/>
      <c r="AE882" s="181"/>
      <c r="AF882" s="181"/>
      <c r="AG882" s="181"/>
      <c r="AH882" s="181"/>
      <c r="AI882" s="181"/>
      <c r="AJ882" s="181"/>
      <c r="AK882" s="181"/>
      <c r="AL882" s="181"/>
      <c r="AM882" s="181"/>
      <c r="AN882" s="181"/>
      <c r="AO882" s="181"/>
      <c r="AP882" s="181"/>
      <c r="AQ882" s="181"/>
      <c r="AR882" s="181"/>
      <c r="AS882" s="181"/>
      <c r="AT882" s="181"/>
      <c r="AU882" s="181"/>
      <c r="AV882" s="181"/>
      <c r="AW882" s="181"/>
    </row>
    <row r="883" spans="1:49" ht="13.5" customHeight="1" x14ac:dyDescent="0.3">
      <c r="A883" s="1"/>
      <c r="B883" s="181"/>
      <c r="C883" s="181"/>
      <c r="D883" s="181"/>
      <c r="E883" s="182"/>
      <c r="F883" s="182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  <c r="AC883" s="181"/>
      <c r="AD883" s="181"/>
      <c r="AE883" s="181"/>
      <c r="AF883" s="181"/>
      <c r="AG883" s="181"/>
      <c r="AH883" s="181"/>
      <c r="AI883" s="181"/>
      <c r="AJ883" s="181"/>
      <c r="AK883" s="181"/>
      <c r="AL883" s="181"/>
      <c r="AM883" s="181"/>
      <c r="AN883" s="181"/>
      <c r="AO883" s="181"/>
      <c r="AP883" s="181"/>
      <c r="AQ883" s="181"/>
      <c r="AR883" s="181"/>
      <c r="AS883" s="181"/>
      <c r="AT883" s="181"/>
      <c r="AU883" s="181"/>
      <c r="AV883" s="181"/>
      <c r="AW883" s="181"/>
    </row>
    <row r="884" spans="1:49" ht="13.5" customHeight="1" x14ac:dyDescent="0.3">
      <c r="A884" s="1"/>
      <c r="B884" s="181"/>
      <c r="C884" s="181"/>
      <c r="D884" s="181"/>
      <c r="E884" s="182"/>
      <c r="F884" s="182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  <c r="AC884" s="181"/>
      <c r="AD884" s="181"/>
      <c r="AE884" s="181"/>
      <c r="AF884" s="181"/>
      <c r="AG884" s="181"/>
      <c r="AH884" s="181"/>
      <c r="AI884" s="181"/>
      <c r="AJ884" s="181"/>
      <c r="AK884" s="181"/>
      <c r="AL884" s="181"/>
      <c r="AM884" s="181"/>
      <c r="AN884" s="181"/>
      <c r="AO884" s="181"/>
      <c r="AP884" s="181"/>
      <c r="AQ884" s="181"/>
      <c r="AR884" s="181"/>
      <c r="AS884" s="181"/>
      <c r="AT884" s="181"/>
      <c r="AU884" s="181"/>
      <c r="AV884" s="181"/>
      <c r="AW884" s="181"/>
    </row>
    <row r="885" spans="1:49" ht="13.5" customHeight="1" x14ac:dyDescent="0.3">
      <c r="A885" s="1"/>
      <c r="B885" s="181"/>
      <c r="C885" s="181"/>
      <c r="D885" s="181"/>
      <c r="E885" s="182"/>
      <c r="F885" s="182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  <c r="AC885" s="181"/>
      <c r="AD885" s="181"/>
      <c r="AE885" s="181"/>
      <c r="AF885" s="181"/>
      <c r="AG885" s="181"/>
      <c r="AH885" s="181"/>
      <c r="AI885" s="181"/>
      <c r="AJ885" s="181"/>
      <c r="AK885" s="181"/>
      <c r="AL885" s="181"/>
      <c r="AM885" s="181"/>
      <c r="AN885" s="181"/>
      <c r="AO885" s="181"/>
      <c r="AP885" s="181"/>
      <c r="AQ885" s="181"/>
      <c r="AR885" s="181"/>
      <c r="AS885" s="181"/>
      <c r="AT885" s="181"/>
      <c r="AU885" s="181"/>
      <c r="AV885" s="181"/>
      <c r="AW885" s="181"/>
    </row>
    <row r="886" spans="1:49" ht="13.5" customHeight="1" x14ac:dyDescent="0.3">
      <c r="A886" s="1"/>
      <c r="B886" s="181"/>
      <c r="C886" s="181"/>
      <c r="D886" s="181"/>
      <c r="E886" s="182"/>
      <c r="F886" s="182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  <c r="AC886" s="181"/>
      <c r="AD886" s="181"/>
      <c r="AE886" s="181"/>
      <c r="AF886" s="181"/>
      <c r="AG886" s="181"/>
      <c r="AH886" s="181"/>
      <c r="AI886" s="181"/>
      <c r="AJ886" s="181"/>
      <c r="AK886" s="181"/>
      <c r="AL886" s="181"/>
      <c r="AM886" s="181"/>
      <c r="AN886" s="181"/>
      <c r="AO886" s="181"/>
      <c r="AP886" s="181"/>
      <c r="AQ886" s="181"/>
      <c r="AR886" s="181"/>
      <c r="AS886" s="181"/>
      <c r="AT886" s="181"/>
      <c r="AU886" s="181"/>
      <c r="AV886" s="181"/>
      <c r="AW886" s="181"/>
    </row>
    <row r="887" spans="1:49" ht="13.5" customHeight="1" x14ac:dyDescent="0.3">
      <c r="A887" s="1"/>
      <c r="B887" s="181"/>
      <c r="C887" s="181"/>
      <c r="D887" s="181"/>
      <c r="E887" s="182"/>
      <c r="F887" s="182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  <c r="AC887" s="181"/>
      <c r="AD887" s="181"/>
      <c r="AE887" s="181"/>
      <c r="AF887" s="181"/>
      <c r="AG887" s="181"/>
      <c r="AH887" s="181"/>
      <c r="AI887" s="181"/>
      <c r="AJ887" s="181"/>
      <c r="AK887" s="181"/>
      <c r="AL887" s="181"/>
      <c r="AM887" s="181"/>
      <c r="AN887" s="181"/>
      <c r="AO887" s="181"/>
      <c r="AP887" s="181"/>
      <c r="AQ887" s="181"/>
      <c r="AR887" s="181"/>
      <c r="AS887" s="181"/>
      <c r="AT887" s="181"/>
      <c r="AU887" s="181"/>
      <c r="AV887" s="181"/>
      <c r="AW887" s="181"/>
    </row>
    <row r="888" spans="1:49" ht="13.5" customHeight="1" x14ac:dyDescent="0.3">
      <c r="A888" s="1"/>
      <c r="B888" s="181"/>
      <c r="C888" s="181"/>
      <c r="D888" s="181"/>
      <c r="E888" s="182"/>
      <c r="F888" s="182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  <c r="AC888" s="181"/>
      <c r="AD888" s="181"/>
      <c r="AE888" s="181"/>
      <c r="AF888" s="181"/>
      <c r="AG888" s="181"/>
      <c r="AH888" s="181"/>
      <c r="AI888" s="181"/>
      <c r="AJ888" s="181"/>
      <c r="AK888" s="181"/>
      <c r="AL888" s="181"/>
      <c r="AM888" s="181"/>
      <c r="AN888" s="181"/>
      <c r="AO888" s="181"/>
      <c r="AP888" s="181"/>
      <c r="AQ888" s="181"/>
      <c r="AR888" s="181"/>
      <c r="AS888" s="181"/>
      <c r="AT888" s="181"/>
      <c r="AU888" s="181"/>
      <c r="AV888" s="181"/>
      <c r="AW888" s="181"/>
    </row>
    <row r="889" spans="1:49" ht="13.5" customHeight="1" x14ac:dyDescent="0.3">
      <c r="A889" s="1"/>
      <c r="B889" s="181"/>
      <c r="C889" s="181"/>
      <c r="D889" s="181"/>
      <c r="E889" s="182"/>
      <c r="F889" s="182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  <c r="AC889" s="181"/>
      <c r="AD889" s="181"/>
      <c r="AE889" s="181"/>
      <c r="AF889" s="181"/>
      <c r="AG889" s="181"/>
      <c r="AH889" s="181"/>
      <c r="AI889" s="181"/>
      <c r="AJ889" s="181"/>
      <c r="AK889" s="181"/>
      <c r="AL889" s="181"/>
      <c r="AM889" s="181"/>
      <c r="AN889" s="181"/>
      <c r="AO889" s="181"/>
      <c r="AP889" s="181"/>
      <c r="AQ889" s="181"/>
      <c r="AR889" s="181"/>
      <c r="AS889" s="181"/>
      <c r="AT889" s="181"/>
      <c r="AU889" s="181"/>
      <c r="AV889" s="181"/>
      <c r="AW889" s="181"/>
    </row>
    <row r="890" spans="1:49" ht="13.5" customHeight="1" x14ac:dyDescent="0.3">
      <c r="A890" s="1"/>
      <c r="B890" s="181"/>
      <c r="C890" s="181"/>
      <c r="D890" s="181"/>
      <c r="E890" s="182"/>
      <c r="F890" s="182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  <c r="AC890" s="181"/>
      <c r="AD890" s="181"/>
      <c r="AE890" s="181"/>
      <c r="AF890" s="181"/>
      <c r="AG890" s="181"/>
      <c r="AH890" s="181"/>
      <c r="AI890" s="181"/>
      <c r="AJ890" s="181"/>
      <c r="AK890" s="181"/>
      <c r="AL890" s="181"/>
      <c r="AM890" s="181"/>
      <c r="AN890" s="181"/>
      <c r="AO890" s="181"/>
      <c r="AP890" s="181"/>
      <c r="AQ890" s="181"/>
      <c r="AR890" s="181"/>
      <c r="AS890" s="181"/>
      <c r="AT890" s="181"/>
      <c r="AU890" s="181"/>
      <c r="AV890" s="181"/>
      <c r="AW890" s="181"/>
    </row>
    <row r="891" spans="1:49" ht="13.5" customHeight="1" x14ac:dyDescent="0.3">
      <c r="A891" s="1"/>
      <c r="B891" s="181"/>
      <c r="C891" s="181"/>
      <c r="D891" s="181"/>
      <c r="E891" s="182"/>
      <c r="F891" s="182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  <c r="AC891" s="181"/>
      <c r="AD891" s="181"/>
      <c r="AE891" s="181"/>
      <c r="AF891" s="181"/>
      <c r="AG891" s="181"/>
      <c r="AH891" s="181"/>
      <c r="AI891" s="181"/>
      <c r="AJ891" s="181"/>
      <c r="AK891" s="181"/>
      <c r="AL891" s="181"/>
      <c r="AM891" s="181"/>
      <c r="AN891" s="181"/>
      <c r="AO891" s="181"/>
      <c r="AP891" s="181"/>
      <c r="AQ891" s="181"/>
      <c r="AR891" s="181"/>
      <c r="AS891" s="181"/>
      <c r="AT891" s="181"/>
      <c r="AU891" s="181"/>
      <c r="AV891" s="181"/>
      <c r="AW891" s="181"/>
    </row>
    <row r="892" spans="1:49" ht="13.5" customHeight="1" x14ac:dyDescent="0.3">
      <c r="A892" s="1"/>
      <c r="B892" s="181"/>
      <c r="C892" s="181"/>
      <c r="D892" s="181"/>
      <c r="E892" s="182"/>
      <c r="F892" s="182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  <c r="AC892" s="181"/>
      <c r="AD892" s="181"/>
      <c r="AE892" s="181"/>
      <c r="AF892" s="181"/>
      <c r="AG892" s="181"/>
      <c r="AH892" s="181"/>
      <c r="AI892" s="181"/>
      <c r="AJ892" s="181"/>
      <c r="AK892" s="181"/>
      <c r="AL892" s="181"/>
      <c r="AM892" s="181"/>
      <c r="AN892" s="181"/>
      <c r="AO892" s="181"/>
      <c r="AP892" s="181"/>
      <c r="AQ892" s="181"/>
      <c r="AR892" s="181"/>
      <c r="AS892" s="181"/>
      <c r="AT892" s="181"/>
      <c r="AU892" s="181"/>
      <c r="AV892" s="181"/>
      <c r="AW892" s="181"/>
    </row>
    <row r="893" spans="1:49" ht="13.5" customHeight="1" x14ac:dyDescent="0.3">
      <c r="A893" s="1"/>
      <c r="B893" s="181"/>
      <c r="C893" s="181"/>
      <c r="D893" s="181"/>
      <c r="E893" s="182"/>
      <c r="F893" s="182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  <c r="AC893" s="181"/>
      <c r="AD893" s="181"/>
      <c r="AE893" s="181"/>
      <c r="AF893" s="181"/>
      <c r="AG893" s="181"/>
      <c r="AH893" s="181"/>
      <c r="AI893" s="181"/>
      <c r="AJ893" s="181"/>
      <c r="AK893" s="181"/>
      <c r="AL893" s="181"/>
      <c r="AM893" s="181"/>
      <c r="AN893" s="181"/>
      <c r="AO893" s="181"/>
      <c r="AP893" s="181"/>
      <c r="AQ893" s="181"/>
      <c r="AR893" s="181"/>
      <c r="AS893" s="181"/>
      <c r="AT893" s="181"/>
      <c r="AU893" s="181"/>
      <c r="AV893" s="181"/>
      <c r="AW893" s="181"/>
    </row>
    <row r="894" spans="1:49" ht="13.5" customHeight="1" x14ac:dyDescent="0.3">
      <c r="A894" s="1"/>
      <c r="B894" s="181"/>
      <c r="C894" s="181"/>
      <c r="D894" s="181"/>
      <c r="E894" s="182"/>
      <c r="F894" s="182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  <c r="AC894" s="181"/>
      <c r="AD894" s="181"/>
      <c r="AE894" s="181"/>
      <c r="AF894" s="181"/>
      <c r="AG894" s="181"/>
      <c r="AH894" s="181"/>
      <c r="AI894" s="181"/>
      <c r="AJ894" s="181"/>
      <c r="AK894" s="181"/>
      <c r="AL894" s="181"/>
      <c r="AM894" s="181"/>
      <c r="AN894" s="181"/>
      <c r="AO894" s="181"/>
      <c r="AP894" s="181"/>
      <c r="AQ894" s="181"/>
      <c r="AR894" s="181"/>
      <c r="AS894" s="181"/>
      <c r="AT894" s="181"/>
      <c r="AU894" s="181"/>
      <c r="AV894" s="181"/>
      <c r="AW894" s="181"/>
    </row>
    <row r="895" spans="1:49" ht="13.5" customHeight="1" x14ac:dyDescent="0.3">
      <c r="A895" s="1"/>
      <c r="B895" s="181"/>
      <c r="C895" s="181"/>
      <c r="D895" s="181"/>
      <c r="E895" s="182"/>
      <c r="F895" s="182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  <c r="AC895" s="181"/>
      <c r="AD895" s="181"/>
      <c r="AE895" s="181"/>
      <c r="AF895" s="181"/>
      <c r="AG895" s="181"/>
      <c r="AH895" s="181"/>
      <c r="AI895" s="181"/>
      <c r="AJ895" s="181"/>
      <c r="AK895" s="181"/>
      <c r="AL895" s="181"/>
      <c r="AM895" s="181"/>
      <c r="AN895" s="181"/>
      <c r="AO895" s="181"/>
      <c r="AP895" s="181"/>
      <c r="AQ895" s="181"/>
      <c r="AR895" s="181"/>
      <c r="AS895" s="181"/>
      <c r="AT895" s="181"/>
      <c r="AU895" s="181"/>
      <c r="AV895" s="181"/>
      <c r="AW895" s="181"/>
    </row>
    <row r="896" spans="1:49" ht="13.5" customHeight="1" x14ac:dyDescent="0.3">
      <c r="A896" s="1"/>
      <c r="B896" s="181"/>
      <c r="C896" s="181"/>
      <c r="D896" s="181"/>
      <c r="E896" s="182"/>
      <c r="F896" s="182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  <c r="AC896" s="181"/>
      <c r="AD896" s="181"/>
      <c r="AE896" s="181"/>
      <c r="AF896" s="181"/>
      <c r="AG896" s="181"/>
      <c r="AH896" s="181"/>
      <c r="AI896" s="181"/>
      <c r="AJ896" s="181"/>
      <c r="AK896" s="181"/>
      <c r="AL896" s="181"/>
      <c r="AM896" s="181"/>
      <c r="AN896" s="181"/>
      <c r="AO896" s="181"/>
      <c r="AP896" s="181"/>
      <c r="AQ896" s="181"/>
      <c r="AR896" s="181"/>
      <c r="AS896" s="181"/>
      <c r="AT896" s="181"/>
      <c r="AU896" s="181"/>
      <c r="AV896" s="181"/>
      <c r="AW896" s="181"/>
    </row>
    <row r="897" spans="1:49" ht="13.5" customHeight="1" x14ac:dyDescent="0.3">
      <c r="A897" s="1"/>
      <c r="B897" s="181"/>
      <c r="C897" s="181"/>
      <c r="D897" s="181"/>
      <c r="E897" s="182"/>
      <c r="F897" s="182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  <c r="AC897" s="181"/>
      <c r="AD897" s="181"/>
      <c r="AE897" s="181"/>
      <c r="AF897" s="181"/>
      <c r="AG897" s="181"/>
      <c r="AH897" s="181"/>
      <c r="AI897" s="181"/>
      <c r="AJ897" s="181"/>
      <c r="AK897" s="181"/>
      <c r="AL897" s="181"/>
      <c r="AM897" s="181"/>
      <c r="AN897" s="181"/>
      <c r="AO897" s="181"/>
      <c r="AP897" s="181"/>
      <c r="AQ897" s="181"/>
      <c r="AR897" s="181"/>
      <c r="AS897" s="181"/>
      <c r="AT897" s="181"/>
      <c r="AU897" s="181"/>
      <c r="AV897" s="181"/>
      <c r="AW897" s="181"/>
    </row>
    <row r="898" spans="1:49" ht="13.5" customHeight="1" x14ac:dyDescent="0.3">
      <c r="A898" s="1"/>
      <c r="B898" s="181"/>
      <c r="C898" s="181"/>
      <c r="D898" s="181"/>
      <c r="E898" s="182"/>
      <c r="F898" s="182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  <c r="AC898" s="181"/>
      <c r="AD898" s="181"/>
      <c r="AE898" s="181"/>
      <c r="AF898" s="181"/>
      <c r="AG898" s="181"/>
      <c r="AH898" s="181"/>
      <c r="AI898" s="181"/>
      <c r="AJ898" s="181"/>
      <c r="AK898" s="181"/>
      <c r="AL898" s="181"/>
      <c r="AM898" s="181"/>
      <c r="AN898" s="181"/>
      <c r="AO898" s="181"/>
      <c r="AP898" s="181"/>
      <c r="AQ898" s="181"/>
      <c r="AR898" s="181"/>
      <c r="AS898" s="181"/>
      <c r="AT898" s="181"/>
      <c r="AU898" s="181"/>
      <c r="AV898" s="181"/>
      <c r="AW898" s="181"/>
    </row>
    <row r="899" spans="1:49" ht="13.5" customHeight="1" x14ac:dyDescent="0.3">
      <c r="A899" s="1"/>
      <c r="B899" s="181"/>
      <c r="C899" s="181"/>
      <c r="D899" s="181"/>
      <c r="E899" s="182"/>
      <c r="F899" s="182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  <c r="AC899" s="181"/>
      <c r="AD899" s="181"/>
      <c r="AE899" s="181"/>
      <c r="AF899" s="181"/>
      <c r="AG899" s="181"/>
      <c r="AH899" s="181"/>
      <c r="AI899" s="181"/>
      <c r="AJ899" s="181"/>
      <c r="AK899" s="181"/>
      <c r="AL899" s="181"/>
      <c r="AM899" s="181"/>
      <c r="AN899" s="181"/>
      <c r="AO899" s="181"/>
      <c r="AP899" s="181"/>
      <c r="AQ899" s="181"/>
      <c r="AR899" s="181"/>
      <c r="AS899" s="181"/>
      <c r="AT899" s="181"/>
      <c r="AU899" s="181"/>
      <c r="AV899" s="181"/>
      <c r="AW899" s="181"/>
    </row>
    <row r="900" spans="1:49" ht="13.5" customHeight="1" x14ac:dyDescent="0.3">
      <c r="A900" s="1"/>
      <c r="B900" s="181"/>
      <c r="C900" s="181"/>
      <c r="D900" s="181"/>
      <c r="E900" s="182"/>
      <c r="F900" s="182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  <c r="AC900" s="181"/>
      <c r="AD900" s="181"/>
      <c r="AE900" s="181"/>
      <c r="AF900" s="181"/>
      <c r="AG900" s="181"/>
      <c r="AH900" s="181"/>
      <c r="AI900" s="181"/>
      <c r="AJ900" s="181"/>
      <c r="AK900" s="181"/>
      <c r="AL900" s="181"/>
      <c r="AM900" s="181"/>
      <c r="AN900" s="181"/>
      <c r="AO900" s="181"/>
      <c r="AP900" s="181"/>
      <c r="AQ900" s="181"/>
      <c r="AR900" s="181"/>
      <c r="AS900" s="181"/>
      <c r="AT900" s="181"/>
      <c r="AU900" s="181"/>
      <c r="AV900" s="181"/>
      <c r="AW900" s="181"/>
    </row>
    <row r="901" spans="1:49" ht="13.5" customHeight="1" x14ac:dyDescent="0.3">
      <c r="A901" s="1"/>
      <c r="B901" s="181"/>
      <c r="C901" s="181"/>
      <c r="D901" s="181"/>
      <c r="E901" s="182"/>
      <c r="F901" s="182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  <c r="AC901" s="181"/>
      <c r="AD901" s="181"/>
      <c r="AE901" s="181"/>
      <c r="AF901" s="181"/>
      <c r="AG901" s="181"/>
      <c r="AH901" s="181"/>
      <c r="AI901" s="181"/>
      <c r="AJ901" s="181"/>
      <c r="AK901" s="181"/>
      <c r="AL901" s="181"/>
      <c r="AM901" s="181"/>
      <c r="AN901" s="181"/>
      <c r="AO901" s="181"/>
      <c r="AP901" s="181"/>
      <c r="AQ901" s="181"/>
      <c r="AR901" s="181"/>
      <c r="AS901" s="181"/>
      <c r="AT901" s="181"/>
      <c r="AU901" s="181"/>
      <c r="AV901" s="181"/>
      <c r="AW901" s="181"/>
    </row>
    <row r="902" spans="1:49" ht="13.5" customHeight="1" x14ac:dyDescent="0.3">
      <c r="A902" s="1"/>
      <c r="B902" s="181"/>
      <c r="C902" s="181"/>
      <c r="D902" s="181"/>
      <c r="E902" s="182"/>
      <c r="F902" s="182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  <c r="AC902" s="181"/>
      <c r="AD902" s="181"/>
      <c r="AE902" s="181"/>
      <c r="AF902" s="181"/>
      <c r="AG902" s="181"/>
      <c r="AH902" s="181"/>
      <c r="AI902" s="181"/>
      <c r="AJ902" s="181"/>
      <c r="AK902" s="181"/>
      <c r="AL902" s="181"/>
      <c r="AM902" s="181"/>
      <c r="AN902" s="181"/>
      <c r="AO902" s="181"/>
      <c r="AP902" s="181"/>
      <c r="AQ902" s="181"/>
      <c r="AR902" s="181"/>
      <c r="AS902" s="181"/>
      <c r="AT902" s="181"/>
      <c r="AU902" s="181"/>
      <c r="AV902" s="181"/>
      <c r="AW902" s="181"/>
    </row>
    <row r="903" spans="1:49" ht="13.5" customHeight="1" x14ac:dyDescent="0.3">
      <c r="A903" s="1"/>
      <c r="B903" s="181"/>
      <c r="C903" s="181"/>
      <c r="D903" s="181"/>
      <c r="E903" s="182"/>
      <c r="F903" s="182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  <c r="AC903" s="181"/>
      <c r="AD903" s="181"/>
      <c r="AE903" s="181"/>
      <c r="AF903" s="181"/>
      <c r="AG903" s="181"/>
      <c r="AH903" s="181"/>
      <c r="AI903" s="181"/>
      <c r="AJ903" s="181"/>
      <c r="AK903" s="181"/>
      <c r="AL903" s="181"/>
      <c r="AM903" s="181"/>
      <c r="AN903" s="181"/>
      <c r="AO903" s="181"/>
      <c r="AP903" s="181"/>
      <c r="AQ903" s="181"/>
      <c r="AR903" s="181"/>
      <c r="AS903" s="181"/>
      <c r="AT903" s="181"/>
      <c r="AU903" s="181"/>
      <c r="AV903" s="181"/>
      <c r="AW903" s="181"/>
    </row>
    <row r="904" spans="1:49" ht="13.5" customHeight="1" x14ac:dyDescent="0.3">
      <c r="A904" s="1"/>
      <c r="B904" s="181"/>
      <c r="C904" s="181"/>
      <c r="D904" s="181"/>
      <c r="E904" s="182"/>
      <c r="F904" s="182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  <c r="AC904" s="181"/>
      <c r="AD904" s="181"/>
      <c r="AE904" s="181"/>
      <c r="AF904" s="181"/>
      <c r="AG904" s="181"/>
      <c r="AH904" s="181"/>
      <c r="AI904" s="181"/>
      <c r="AJ904" s="181"/>
      <c r="AK904" s="181"/>
      <c r="AL904" s="181"/>
      <c r="AM904" s="181"/>
      <c r="AN904" s="181"/>
      <c r="AO904" s="181"/>
      <c r="AP904" s="181"/>
      <c r="AQ904" s="181"/>
      <c r="AR904" s="181"/>
      <c r="AS904" s="181"/>
      <c r="AT904" s="181"/>
      <c r="AU904" s="181"/>
      <c r="AV904" s="181"/>
      <c r="AW904" s="181"/>
    </row>
    <row r="905" spans="1:49" ht="13.5" customHeight="1" x14ac:dyDescent="0.3">
      <c r="A905" s="1"/>
      <c r="B905" s="181"/>
      <c r="C905" s="181"/>
      <c r="D905" s="181"/>
      <c r="E905" s="182"/>
      <c r="F905" s="182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  <c r="AC905" s="181"/>
      <c r="AD905" s="181"/>
      <c r="AE905" s="181"/>
      <c r="AF905" s="181"/>
      <c r="AG905" s="181"/>
      <c r="AH905" s="181"/>
      <c r="AI905" s="181"/>
      <c r="AJ905" s="181"/>
      <c r="AK905" s="181"/>
      <c r="AL905" s="181"/>
      <c r="AM905" s="181"/>
      <c r="AN905" s="181"/>
      <c r="AO905" s="181"/>
      <c r="AP905" s="181"/>
      <c r="AQ905" s="181"/>
      <c r="AR905" s="181"/>
      <c r="AS905" s="181"/>
      <c r="AT905" s="181"/>
      <c r="AU905" s="181"/>
      <c r="AV905" s="181"/>
      <c r="AW905" s="181"/>
    </row>
    <row r="906" spans="1:49" ht="13.5" customHeight="1" x14ac:dyDescent="0.3">
      <c r="A906" s="1"/>
      <c r="B906" s="181"/>
      <c r="C906" s="181"/>
      <c r="D906" s="181"/>
      <c r="E906" s="182"/>
      <c r="F906" s="182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  <c r="AC906" s="181"/>
      <c r="AD906" s="181"/>
      <c r="AE906" s="181"/>
      <c r="AF906" s="181"/>
      <c r="AG906" s="181"/>
      <c r="AH906" s="181"/>
      <c r="AI906" s="181"/>
      <c r="AJ906" s="181"/>
      <c r="AK906" s="181"/>
      <c r="AL906" s="181"/>
      <c r="AM906" s="181"/>
      <c r="AN906" s="181"/>
      <c r="AO906" s="181"/>
      <c r="AP906" s="181"/>
      <c r="AQ906" s="181"/>
      <c r="AR906" s="181"/>
      <c r="AS906" s="181"/>
      <c r="AT906" s="181"/>
      <c r="AU906" s="181"/>
      <c r="AV906" s="181"/>
      <c r="AW906" s="181"/>
    </row>
    <row r="907" spans="1:49" ht="13.5" customHeight="1" x14ac:dyDescent="0.3">
      <c r="A907" s="1"/>
      <c r="B907" s="181"/>
      <c r="C907" s="181"/>
      <c r="D907" s="181"/>
      <c r="E907" s="182"/>
      <c r="F907" s="182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  <c r="AC907" s="181"/>
      <c r="AD907" s="181"/>
      <c r="AE907" s="181"/>
      <c r="AF907" s="181"/>
      <c r="AG907" s="181"/>
      <c r="AH907" s="181"/>
      <c r="AI907" s="181"/>
      <c r="AJ907" s="181"/>
      <c r="AK907" s="181"/>
      <c r="AL907" s="181"/>
      <c r="AM907" s="181"/>
      <c r="AN907" s="181"/>
      <c r="AO907" s="181"/>
      <c r="AP907" s="181"/>
      <c r="AQ907" s="181"/>
      <c r="AR907" s="181"/>
      <c r="AS907" s="181"/>
      <c r="AT907" s="181"/>
      <c r="AU907" s="181"/>
      <c r="AV907" s="181"/>
      <c r="AW907" s="181"/>
    </row>
    <row r="908" spans="1:49" ht="13.5" customHeight="1" x14ac:dyDescent="0.3">
      <c r="A908" s="1"/>
      <c r="B908" s="181"/>
      <c r="C908" s="181"/>
      <c r="D908" s="181"/>
      <c r="E908" s="182"/>
      <c r="F908" s="182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  <c r="AC908" s="181"/>
      <c r="AD908" s="181"/>
      <c r="AE908" s="181"/>
      <c r="AF908" s="181"/>
      <c r="AG908" s="181"/>
      <c r="AH908" s="181"/>
      <c r="AI908" s="181"/>
      <c r="AJ908" s="181"/>
      <c r="AK908" s="181"/>
      <c r="AL908" s="181"/>
      <c r="AM908" s="181"/>
      <c r="AN908" s="181"/>
      <c r="AO908" s="181"/>
      <c r="AP908" s="181"/>
      <c r="AQ908" s="181"/>
      <c r="AR908" s="181"/>
      <c r="AS908" s="181"/>
      <c r="AT908" s="181"/>
      <c r="AU908" s="181"/>
      <c r="AV908" s="181"/>
      <c r="AW908" s="181"/>
    </row>
    <row r="909" spans="1:49" ht="13.5" customHeight="1" x14ac:dyDescent="0.3">
      <c r="A909" s="1"/>
      <c r="B909" s="181"/>
      <c r="C909" s="181"/>
      <c r="D909" s="181"/>
      <c r="E909" s="182"/>
      <c r="F909" s="182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  <c r="AC909" s="181"/>
      <c r="AD909" s="181"/>
      <c r="AE909" s="181"/>
      <c r="AF909" s="181"/>
      <c r="AG909" s="181"/>
      <c r="AH909" s="181"/>
      <c r="AI909" s="181"/>
      <c r="AJ909" s="181"/>
      <c r="AK909" s="181"/>
      <c r="AL909" s="181"/>
      <c r="AM909" s="181"/>
      <c r="AN909" s="181"/>
      <c r="AO909" s="181"/>
      <c r="AP909" s="181"/>
      <c r="AQ909" s="181"/>
      <c r="AR909" s="181"/>
      <c r="AS909" s="181"/>
      <c r="AT909" s="181"/>
      <c r="AU909" s="181"/>
      <c r="AV909" s="181"/>
      <c r="AW909" s="181"/>
    </row>
    <row r="910" spans="1:49" ht="13.5" customHeight="1" x14ac:dyDescent="0.3">
      <c r="A910" s="1"/>
      <c r="B910" s="181"/>
      <c r="C910" s="181"/>
      <c r="D910" s="181"/>
      <c r="E910" s="182"/>
      <c r="F910" s="182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  <c r="AC910" s="181"/>
      <c r="AD910" s="181"/>
      <c r="AE910" s="181"/>
      <c r="AF910" s="181"/>
      <c r="AG910" s="181"/>
      <c r="AH910" s="181"/>
      <c r="AI910" s="181"/>
      <c r="AJ910" s="181"/>
      <c r="AK910" s="181"/>
      <c r="AL910" s="181"/>
      <c r="AM910" s="181"/>
      <c r="AN910" s="181"/>
      <c r="AO910" s="181"/>
      <c r="AP910" s="181"/>
      <c r="AQ910" s="181"/>
      <c r="AR910" s="181"/>
      <c r="AS910" s="181"/>
      <c r="AT910" s="181"/>
      <c r="AU910" s="181"/>
      <c r="AV910" s="181"/>
      <c r="AW910" s="181"/>
    </row>
    <row r="911" spans="1:49" ht="13.5" customHeight="1" x14ac:dyDescent="0.3">
      <c r="A911" s="1"/>
      <c r="B911" s="181"/>
      <c r="C911" s="181"/>
      <c r="D911" s="181"/>
      <c r="E911" s="182"/>
      <c r="F911" s="182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  <c r="AC911" s="181"/>
      <c r="AD911" s="181"/>
      <c r="AE911" s="181"/>
      <c r="AF911" s="181"/>
      <c r="AG911" s="181"/>
      <c r="AH911" s="181"/>
      <c r="AI911" s="181"/>
      <c r="AJ911" s="181"/>
      <c r="AK911" s="181"/>
      <c r="AL911" s="181"/>
      <c r="AM911" s="181"/>
      <c r="AN911" s="181"/>
      <c r="AO911" s="181"/>
      <c r="AP911" s="181"/>
      <c r="AQ911" s="181"/>
      <c r="AR911" s="181"/>
      <c r="AS911" s="181"/>
      <c r="AT911" s="181"/>
      <c r="AU911" s="181"/>
      <c r="AV911" s="181"/>
      <c r="AW911" s="181"/>
    </row>
    <row r="912" spans="1:49" ht="13.5" customHeight="1" x14ac:dyDescent="0.3">
      <c r="A912" s="1"/>
      <c r="B912" s="181"/>
      <c r="C912" s="181"/>
      <c r="D912" s="181"/>
      <c r="E912" s="182"/>
      <c r="F912" s="182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  <c r="AC912" s="181"/>
      <c r="AD912" s="181"/>
      <c r="AE912" s="181"/>
      <c r="AF912" s="181"/>
      <c r="AG912" s="181"/>
      <c r="AH912" s="181"/>
      <c r="AI912" s="181"/>
      <c r="AJ912" s="181"/>
      <c r="AK912" s="181"/>
      <c r="AL912" s="181"/>
      <c r="AM912" s="181"/>
      <c r="AN912" s="181"/>
      <c r="AO912" s="181"/>
      <c r="AP912" s="181"/>
      <c r="AQ912" s="181"/>
      <c r="AR912" s="181"/>
      <c r="AS912" s="181"/>
      <c r="AT912" s="181"/>
      <c r="AU912" s="181"/>
      <c r="AV912" s="181"/>
      <c r="AW912" s="181"/>
    </row>
    <row r="913" spans="1:49" ht="13.5" customHeight="1" x14ac:dyDescent="0.3">
      <c r="A913" s="1"/>
      <c r="B913" s="181"/>
      <c r="C913" s="181"/>
      <c r="D913" s="181"/>
      <c r="E913" s="182"/>
      <c r="F913" s="182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  <c r="AC913" s="181"/>
      <c r="AD913" s="181"/>
      <c r="AE913" s="181"/>
      <c r="AF913" s="181"/>
      <c r="AG913" s="181"/>
      <c r="AH913" s="181"/>
      <c r="AI913" s="181"/>
      <c r="AJ913" s="181"/>
      <c r="AK913" s="181"/>
      <c r="AL913" s="181"/>
      <c r="AM913" s="181"/>
      <c r="AN913" s="181"/>
      <c r="AO913" s="181"/>
      <c r="AP913" s="181"/>
      <c r="AQ913" s="181"/>
      <c r="AR913" s="181"/>
      <c r="AS913" s="181"/>
      <c r="AT913" s="181"/>
      <c r="AU913" s="181"/>
      <c r="AV913" s="181"/>
      <c r="AW913" s="181"/>
    </row>
    <row r="914" spans="1:49" ht="13.5" customHeight="1" x14ac:dyDescent="0.3">
      <c r="A914" s="1"/>
      <c r="B914" s="181"/>
      <c r="C914" s="181"/>
      <c r="D914" s="181"/>
      <c r="E914" s="182"/>
      <c r="F914" s="182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  <c r="AC914" s="181"/>
      <c r="AD914" s="181"/>
      <c r="AE914" s="181"/>
      <c r="AF914" s="181"/>
      <c r="AG914" s="181"/>
      <c r="AH914" s="181"/>
      <c r="AI914" s="181"/>
      <c r="AJ914" s="181"/>
      <c r="AK914" s="181"/>
      <c r="AL914" s="181"/>
      <c r="AM914" s="181"/>
      <c r="AN914" s="181"/>
      <c r="AO914" s="181"/>
      <c r="AP914" s="181"/>
      <c r="AQ914" s="181"/>
      <c r="AR914" s="181"/>
      <c r="AS914" s="181"/>
      <c r="AT914" s="181"/>
      <c r="AU914" s="181"/>
      <c r="AV914" s="181"/>
      <c r="AW914" s="181"/>
    </row>
    <row r="915" spans="1:49" ht="13.5" customHeight="1" x14ac:dyDescent="0.3">
      <c r="A915" s="1"/>
      <c r="B915" s="181"/>
      <c r="C915" s="181"/>
      <c r="D915" s="181"/>
      <c r="E915" s="182"/>
      <c r="F915" s="182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  <c r="AA915" s="181"/>
      <c r="AB915" s="181"/>
      <c r="AC915" s="181"/>
      <c r="AD915" s="181"/>
      <c r="AE915" s="181"/>
      <c r="AF915" s="181"/>
      <c r="AG915" s="181"/>
      <c r="AH915" s="181"/>
      <c r="AI915" s="181"/>
      <c r="AJ915" s="181"/>
      <c r="AK915" s="181"/>
      <c r="AL915" s="181"/>
      <c r="AM915" s="181"/>
      <c r="AN915" s="181"/>
      <c r="AO915" s="181"/>
      <c r="AP915" s="181"/>
      <c r="AQ915" s="181"/>
      <c r="AR915" s="181"/>
      <c r="AS915" s="181"/>
      <c r="AT915" s="181"/>
      <c r="AU915" s="181"/>
      <c r="AV915" s="181"/>
      <c r="AW915" s="181"/>
    </row>
    <row r="916" spans="1:49" ht="13.5" customHeight="1" x14ac:dyDescent="0.3">
      <c r="A916" s="1"/>
      <c r="B916" s="181"/>
      <c r="C916" s="181"/>
      <c r="D916" s="181"/>
      <c r="E916" s="182"/>
      <c r="F916" s="182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  <c r="AA916" s="181"/>
      <c r="AB916" s="181"/>
      <c r="AC916" s="181"/>
      <c r="AD916" s="181"/>
      <c r="AE916" s="181"/>
      <c r="AF916" s="181"/>
      <c r="AG916" s="181"/>
      <c r="AH916" s="181"/>
      <c r="AI916" s="181"/>
      <c r="AJ916" s="181"/>
      <c r="AK916" s="181"/>
      <c r="AL916" s="181"/>
      <c r="AM916" s="181"/>
      <c r="AN916" s="181"/>
      <c r="AO916" s="181"/>
      <c r="AP916" s="181"/>
      <c r="AQ916" s="181"/>
      <c r="AR916" s="181"/>
      <c r="AS916" s="181"/>
      <c r="AT916" s="181"/>
      <c r="AU916" s="181"/>
      <c r="AV916" s="181"/>
      <c r="AW916" s="181"/>
    </row>
    <row r="917" spans="1:49" ht="13.5" customHeight="1" x14ac:dyDescent="0.3">
      <c r="A917" s="1"/>
      <c r="B917" s="181"/>
      <c r="C917" s="181"/>
      <c r="D917" s="181"/>
      <c r="E917" s="182"/>
      <c r="F917" s="182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  <c r="AA917" s="181"/>
      <c r="AB917" s="181"/>
      <c r="AC917" s="181"/>
      <c r="AD917" s="181"/>
      <c r="AE917" s="181"/>
      <c r="AF917" s="181"/>
      <c r="AG917" s="181"/>
      <c r="AH917" s="181"/>
      <c r="AI917" s="181"/>
      <c r="AJ917" s="181"/>
      <c r="AK917" s="181"/>
      <c r="AL917" s="181"/>
      <c r="AM917" s="181"/>
      <c r="AN917" s="181"/>
      <c r="AO917" s="181"/>
      <c r="AP917" s="181"/>
      <c r="AQ917" s="181"/>
      <c r="AR917" s="181"/>
      <c r="AS917" s="181"/>
      <c r="AT917" s="181"/>
      <c r="AU917" s="181"/>
      <c r="AV917" s="181"/>
      <c r="AW917" s="181"/>
    </row>
    <row r="918" spans="1:49" ht="13.5" customHeight="1" x14ac:dyDescent="0.3">
      <c r="A918" s="1"/>
      <c r="B918" s="181"/>
      <c r="C918" s="181"/>
      <c r="D918" s="181"/>
      <c r="E918" s="182"/>
      <c r="F918" s="182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  <c r="AA918" s="181"/>
      <c r="AB918" s="181"/>
      <c r="AC918" s="181"/>
      <c r="AD918" s="181"/>
      <c r="AE918" s="181"/>
      <c r="AF918" s="181"/>
      <c r="AG918" s="181"/>
      <c r="AH918" s="181"/>
      <c r="AI918" s="181"/>
      <c r="AJ918" s="181"/>
      <c r="AK918" s="181"/>
      <c r="AL918" s="181"/>
      <c r="AM918" s="181"/>
      <c r="AN918" s="181"/>
      <c r="AO918" s="181"/>
      <c r="AP918" s="181"/>
      <c r="AQ918" s="181"/>
      <c r="AR918" s="181"/>
      <c r="AS918" s="181"/>
      <c r="AT918" s="181"/>
      <c r="AU918" s="181"/>
      <c r="AV918" s="181"/>
      <c r="AW918" s="181"/>
    </row>
    <row r="919" spans="1:49" ht="13.5" customHeight="1" x14ac:dyDescent="0.3">
      <c r="A919" s="1"/>
      <c r="B919" s="181"/>
      <c r="C919" s="181"/>
      <c r="D919" s="181"/>
      <c r="E919" s="182"/>
      <c r="F919" s="182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  <c r="AA919" s="181"/>
      <c r="AB919" s="181"/>
      <c r="AC919" s="181"/>
      <c r="AD919" s="181"/>
      <c r="AE919" s="181"/>
      <c r="AF919" s="181"/>
      <c r="AG919" s="181"/>
      <c r="AH919" s="181"/>
      <c r="AI919" s="181"/>
      <c r="AJ919" s="181"/>
      <c r="AK919" s="181"/>
      <c r="AL919" s="181"/>
      <c r="AM919" s="181"/>
      <c r="AN919" s="181"/>
      <c r="AO919" s="181"/>
      <c r="AP919" s="181"/>
      <c r="AQ919" s="181"/>
      <c r="AR919" s="181"/>
      <c r="AS919" s="181"/>
      <c r="AT919" s="181"/>
      <c r="AU919" s="181"/>
      <c r="AV919" s="181"/>
      <c r="AW919" s="181"/>
    </row>
    <row r="920" spans="1:49" ht="13.5" customHeight="1" x14ac:dyDescent="0.3">
      <c r="A920" s="1"/>
      <c r="B920" s="181"/>
      <c r="C920" s="181"/>
      <c r="D920" s="181"/>
      <c r="E920" s="182"/>
      <c r="F920" s="182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  <c r="AA920" s="181"/>
      <c r="AB920" s="181"/>
      <c r="AC920" s="181"/>
      <c r="AD920" s="181"/>
      <c r="AE920" s="181"/>
      <c r="AF920" s="181"/>
      <c r="AG920" s="181"/>
      <c r="AH920" s="181"/>
      <c r="AI920" s="181"/>
      <c r="AJ920" s="181"/>
      <c r="AK920" s="181"/>
      <c r="AL920" s="181"/>
      <c r="AM920" s="181"/>
      <c r="AN920" s="181"/>
      <c r="AO920" s="181"/>
      <c r="AP920" s="181"/>
      <c r="AQ920" s="181"/>
      <c r="AR920" s="181"/>
      <c r="AS920" s="181"/>
      <c r="AT920" s="181"/>
      <c r="AU920" s="181"/>
      <c r="AV920" s="181"/>
      <c r="AW920" s="181"/>
    </row>
    <row r="921" spans="1:49" ht="13.5" customHeight="1" x14ac:dyDescent="0.3">
      <c r="A921" s="1"/>
      <c r="B921" s="181"/>
      <c r="C921" s="181"/>
      <c r="D921" s="181"/>
      <c r="E921" s="182"/>
      <c r="F921" s="182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  <c r="AA921" s="181"/>
      <c r="AB921" s="181"/>
      <c r="AC921" s="181"/>
      <c r="AD921" s="181"/>
      <c r="AE921" s="181"/>
      <c r="AF921" s="181"/>
      <c r="AG921" s="181"/>
      <c r="AH921" s="181"/>
      <c r="AI921" s="181"/>
      <c r="AJ921" s="181"/>
      <c r="AK921" s="181"/>
      <c r="AL921" s="181"/>
      <c r="AM921" s="181"/>
      <c r="AN921" s="181"/>
      <c r="AO921" s="181"/>
      <c r="AP921" s="181"/>
      <c r="AQ921" s="181"/>
      <c r="AR921" s="181"/>
      <c r="AS921" s="181"/>
      <c r="AT921" s="181"/>
      <c r="AU921" s="181"/>
      <c r="AV921" s="181"/>
      <c r="AW921" s="181"/>
    </row>
    <row r="922" spans="1:49" ht="13.5" customHeight="1" x14ac:dyDescent="0.3">
      <c r="A922" s="1"/>
      <c r="B922" s="181"/>
      <c r="C922" s="181"/>
      <c r="D922" s="181"/>
      <c r="E922" s="182"/>
      <c r="F922" s="182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  <c r="AA922" s="181"/>
      <c r="AB922" s="181"/>
      <c r="AC922" s="181"/>
      <c r="AD922" s="181"/>
      <c r="AE922" s="181"/>
      <c r="AF922" s="181"/>
      <c r="AG922" s="181"/>
      <c r="AH922" s="181"/>
      <c r="AI922" s="181"/>
      <c r="AJ922" s="181"/>
      <c r="AK922" s="181"/>
      <c r="AL922" s="181"/>
      <c r="AM922" s="181"/>
      <c r="AN922" s="181"/>
      <c r="AO922" s="181"/>
      <c r="AP922" s="181"/>
      <c r="AQ922" s="181"/>
      <c r="AR922" s="181"/>
      <c r="AS922" s="181"/>
      <c r="AT922" s="181"/>
      <c r="AU922" s="181"/>
      <c r="AV922" s="181"/>
      <c r="AW922" s="181"/>
    </row>
    <row r="923" spans="1:49" ht="13.5" customHeight="1" x14ac:dyDescent="0.3">
      <c r="A923" s="1"/>
      <c r="B923" s="181"/>
      <c r="C923" s="181"/>
      <c r="D923" s="181"/>
      <c r="E923" s="182"/>
      <c r="F923" s="182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  <c r="AA923" s="181"/>
      <c r="AB923" s="181"/>
      <c r="AC923" s="181"/>
      <c r="AD923" s="181"/>
      <c r="AE923" s="181"/>
      <c r="AF923" s="181"/>
      <c r="AG923" s="181"/>
      <c r="AH923" s="181"/>
      <c r="AI923" s="181"/>
      <c r="AJ923" s="181"/>
      <c r="AK923" s="181"/>
      <c r="AL923" s="181"/>
      <c r="AM923" s="181"/>
      <c r="AN923" s="181"/>
      <c r="AO923" s="181"/>
      <c r="AP923" s="181"/>
      <c r="AQ923" s="181"/>
      <c r="AR923" s="181"/>
      <c r="AS923" s="181"/>
      <c r="AT923" s="181"/>
      <c r="AU923" s="181"/>
      <c r="AV923" s="181"/>
      <c r="AW923" s="181"/>
    </row>
    <row r="924" spans="1:49" ht="13.5" customHeight="1" x14ac:dyDescent="0.3">
      <c r="A924" s="1"/>
      <c r="B924" s="181"/>
      <c r="C924" s="181"/>
      <c r="D924" s="181"/>
      <c r="E924" s="182"/>
      <c r="F924" s="182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  <c r="AA924" s="181"/>
      <c r="AB924" s="181"/>
      <c r="AC924" s="181"/>
      <c r="AD924" s="181"/>
      <c r="AE924" s="181"/>
      <c r="AF924" s="181"/>
      <c r="AG924" s="181"/>
      <c r="AH924" s="181"/>
      <c r="AI924" s="181"/>
      <c r="AJ924" s="181"/>
      <c r="AK924" s="181"/>
      <c r="AL924" s="181"/>
      <c r="AM924" s="181"/>
      <c r="AN924" s="181"/>
      <c r="AO924" s="181"/>
      <c r="AP924" s="181"/>
      <c r="AQ924" s="181"/>
      <c r="AR924" s="181"/>
      <c r="AS924" s="181"/>
      <c r="AT924" s="181"/>
      <c r="AU924" s="181"/>
      <c r="AV924" s="181"/>
      <c r="AW924" s="181"/>
    </row>
    <row r="925" spans="1:49" ht="13.5" customHeight="1" x14ac:dyDescent="0.3">
      <c r="A925" s="1"/>
      <c r="B925" s="181"/>
      <c r="C925" s="181"/>
      <c r="D925" s="181"/>
      <c r="E925" s="182"/>
      <c r="F925" s="182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  <c r="AA925" s="181"/>
      <c r="AB925" s="181"/>
      <c r="AC925" s="181"/>
      <c r="AD925" s="181"/>
      <c r="AE925" s="181"/>
      <c r="AF925" s="181"/>
      <c r="AG925" s="181"/>
      <c r="AH925" s="181"/>
      <c r="AI925" s="181"/>
      <c r="AJ925" s="181"/>
      <c r="AK925" s="181"/>
      <c r="AL925" s="181"/>
      <c r="AM925" s="181"/>
      <c r="AN925" s="181"/>
      <c r="AO925" s="181"/>
      <c r="AP925" s="181"/>
      <c r="AQ925" s="181"/>
      <c r="AR925" s="181"/>
      <c r="AS925" s="181"/>
      <c r="AT925" s="181"/>
      <c r="AU925" s="181"/>
      <c r="AV925" s="181"/>
      <c r="AW925" s="181"/>
    </row>
    <row r="926" spans="1:49" ht="13.5" customHeight="1" x14ac:dyDescent="0.3">
      <c r="A926" s="1"/>
      <c r="B926" s="181"/>
      <c r="C926" s="181"/>
      <c r="D926" s="181"/>
      <c r="E926" s="182"/>
      <c r="F926" s="182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  <c r="AA926" s="181"/>
      <c r="AB926" s="181"/>
      <c r="AC926" s="181"/>
      <c r="AD926" s="181"/>
      <c r="AE926" s="181"/>
      <c r="AF926" s="181"/>
      <c r="AG926" s="181"/>
      <c r="AH926" s="181"/>
      <c r="AI926" s="181"/>
      <c r="AJ926" s="181"/>
      <c r="AK926" s="181"/>
      <c r="AL926" s="181"/>
      <c r="AM926" s="181"/>
      <c r="AN926" s="181"/>
      <c r="AO926" s="181"/>
      <c r="AP926" s="181"/>
      <c r="AQ926" s="181"/>
      <c r="AR926" s="181"/>
      <c r="AS926" s="181"/>
      <c r="AT926" s="181"/>
      <c r="AU926" s="181"/>
      <c r="AV926" s="181"/>
      <c r="AW926" s="181"/>
    </row>
    <row r="927" spans="1:49" ht="13.5" customHeight="1" x14ac:dyDescent="0.3">
      <c r="A927" s="1"/>
      <c r="B927" s="181"/>
      <c r="C927" s="181"/>
      <c r="D927" s="181"/>
      <c r="E927" s="182"/>
      <c r="F927" s="182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  <c r="AA927" s="181"/>
      <c r="AB927" s="181"/>
      <c r="AC927" s="181"/>
      <c r="AD927" s="181"/>
      <c r="AE927" s="181"/>
      <c r="AF927" s="181"/>
      <c r="AG927" s="181"/>
      <c r="AH927" s="181"/>
      <c r="AI927" s="181"/>
      <c r="AJ927" s="181"/>
      <c r="AK927" s="181"/>
      <c r="AL927" s="181"/>
      <c r="AM927" s="181"/>
      <c r="AN927" s="181"/>
      <c r="AO927" s="181"/>
      <c r="AP927" s="181"/>
      <c r="AQ927" s="181"/>
      <c r="AR927" s="181"/>
      <c r="AS927" s="181"/>
      <c r="AT927" s="181"/>
      <c r="AU927" s="181"/>
      <c r="AV927" s="181"/>
      <c r="AW927" s="181"/>
    </row>
    <row r="928" spans="1:49" ht="13.5" customHeight="1" x14ac:dyDescent="0.3">
      <c r="A928" s="1"/>
      <c r="B928" s="181"/>
      <c r="C928" s="181"/>
      <c r="D928" s="181"/>
      <c r="E928" s="182"/>
      <c r="F928" s="182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  <c r="AA928" s="181"/>
      <c r="AB928" s="181"/>
      <c r="AC928" s="181"/>
      <c r="AD928" s="181"/>
      <c r="AE928" s="181"/>
      <c r="AF928" s="181"/>
      <c r="AG928" s="181"/>
      <c r="AH928" s="181"/>
      <c r="AI928" s="181"/>
      <c r="AJ928" s="181"/>
      <c r="AK928" s="181"/>
      <c r="AL928" s="181"/>
      <c r="AM928" s="181"/>
      <c r="AN928" s="181"/>
      <c r="AO928" s="181"/>
      <c r="AP928" s="181"/>
      <c r="AQ928" s="181"/>
      <c r="AR928" s="181"/>
      <c r="AS928" s="181"/>
      <c r="AT928" s="181"/>
      <c r="AU928" s="181"/>
      <c r="AV928" s="181"/>
      <c r="AW928" s="181"/>
    </row>
    <row r="929" spans="1:49" ht="13.5" customHeight="1" x14ac:dyDescent="0.3">
      <c r="A929" s="1"/>
      <c r="B929" s="181"/>
      <c r="C929" s="181"/>
      <c r="D929" s="181"/>
      <c r="E929" s="182"/>
      <c r="F929" s="182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  <c r="AA929" s="181"/>
      <c r="AB929" s="181"/>
      <c r="AC929" s="181"/>
      <c r="AD929" s="181"/>
      <c r="AE929" s="181"/>
      <c r="AF929" s="181"/>
      <c r="AG929" s="181"/>
      <c r="AH929" s="181"/>
      <c r="AI929" s="181"/>
      <c r="AJ929" s="181"/>
      <c r="AK929" s="181"/>
      <c r="AL929" s="181"/>
      <c r="AM929" s="181"/>
      <c r="AN929" s="181"/>
      <c r="AO929" s="181"/>
      <c r="AP929" s="181"/>
      <c r="AQ929" s="181"/>
      <c r="AR929" s="181"/>
      <c r="AS929" s="181"/>
      <c r="AT929" s="181"/>
      <c r="AU929" s="181"/>
      <c r="AV929" s="181"/>
      <c r="AW929" s="181"/>
    </row>
    <row r="930" spans="1:49" ht="13.5" customHeight="1" x14ac:dyDescent="0.3">
      <c r="A930" s="1"/>
      <c r="B930" s="181"/>
      <c r="C930" s="181"/>
      <c r="D930" s="181"/>
      <c r="E930" s="182"/>
      <c r="F930" s="182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  <c r="AA930" s="181"/>
      <c r="AB930" s="181"/>
      <c r="AC930" s="181"/>
      <c r="AD930" s="181"/>
      <c r="AE930" s="181"/>
      <c r="AF930" s="181"/>
      <c r="AG930" s="181"/>
      <c r="AH930" s="181"/>
      <c r="AI930" s="181"/>
      <c r="AJ930" s="181"/>
      <c r="AK930" s="181"/>
      <c r="AL930" s="181"/>
      <c r="AM930" s="181"/>
      <c r="AN930" s="181"/>
      <c r="AO930" s="181"/>
      <c r="AP930" s="181"/>
      <c r="AQ930" s="181"/>
      <c r="AR930" s="181"/>
      <c r="AS930" s="181"/>
      <c r="AT930" s="181"/>
      <c r="AU930" s="181"/>
      <c r="AV930" s="181"/>
      <c r="AW930" s="181"/>
    </row>
    <row r="931" spans="1:49" ht="13.5" customHeight="1" x14ac:dyDescent="0.3">
      <c r="A931" s="1"/>
      <c r="B931" s="181"/>
      <c r="C931" s="181"/>
      <c r="D931" s="181"/>
      <c r="E931" s="182"/>
      <c r="F931" s="182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  <c r="AA931" s="181"/>
      <c r="AB931" s="181"/>
      <c r="AC931" s="181"/>
      <c r="AD931" s="181"/>
      <c r="AE931" s="181"/>
      <c r="AF931" s="181"/>
      <c r="AG931" s="181"/>
      <c r="AH931" s="181"/>
      <c r="AI931" s="181"/>
      <c r="AJ931" s="181"/>
      <c r="AK931" s="181"/>
      <c r="AL931" s="181"/>
      <c r="AM931" s="181"/>
      <c r="AN931" s="181"/>
      <c r="AO931" s="181"/>
      <c r="AP931" s="181"/>
      <c r="AQ931" s="181"/>
      <c r="AR931" s="181"/>
      <c r="AS931" s="181"/>
      <c r="AT931" s="181"/>
      <c r="AU931" s="181"/>
      <c r="AV931" s="181"/>
      <c r="AW931" s="181"/>
    </row>
    <row r="932" spans="1:49" ht="13.5" customHeight="1" x14ac:dyDescent="0.3">
      <c r="A932" s="1"/>
      <c r="B932" s="181"/>
      <c r="C932" s="181"/>
      <c r="D932" s="181"/>
      <c r="E932" s="182"/>
      <c r="F932" s="182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  <c r="AA932" s="181"/>
      <c r="AB932" s="181"/>
      <c r="AC932" s="181"/>
      <c r="AD932" s="181"/>
      <c r="AE932" s="181"/>
      <c r="AF932" s="181"/>
      <c r="AG932" s="181"/>
      <c r="AH932" s="181"/>
      <c r="AI932" s="181"/>
      <c r="AJ932" s="181"/>
      <c r="AK932" s="181"/>
      <c r="AL932" s="181"/>
      <c r="AM932" s="181"/>
      <c r="AN932" s="181"/>
      <c r="AO932" s="181"/>
      <c r="AP932" s="181"/>
      <c r="AQ932" s="181"/>
      <c r="AR932" s="181"/>
      <c r="AS932" s="181"/>
      <c r="AT932" s="181"/>
      <c r="AU932" s="181"/>
      <c r="AV932" s="181"/>
      <c r="AW932" s="181"/>
    </row>
    <row r="933" spans="1:49" ht="13.5" customHeight="1" x14ac:dyDescent="0.3">
      <c r="A933" s="1"/>
      <c r="B933" s="181"/>
      <c r="C933" s="181"/>
      <c r="D933" s="181"/>
      <c r="E933" s="182"/>
      <c r="F933" s="182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  <c r="AA933" s="181"/>
      <c r="AB933" s="181"/>
      <c r="AC933" s="181"/>
      <c r="AD933" s="181"/>
      <c r="AE933" s="181"/>
      <c r="AF933" s="181"/>
      <c r="AG933" s="181"/>
      <c r="AH933" s="181"/>
      <c r="AI933" s="181"/>
      <c r="AJ933" s="181"/>
      <c r="AK933" s="181"/>
      <c r="AL933" s="181"/>
      <c r="AM933" s="181"/>
      <c r="AN933" s="181"/>
      <c r="AO933" s="181"/>
      <c r="AP933" s="181"/>
      <c r="AQ933" s="181"/>
      <c r="AR933" s="181"/>
      <c r="AS933" s="181"/>
      <c r="AT933" s="181"/>
      <c r="AU933" s="181"/>
      <c r="AV933" s="181"/>
      <c r="AW933" s="181"/>
    </row>
    <row r="934" spans="1:49" ht="13.5" customHeight="1" x14ac:dyDescent="0.3">
      <c r="A934" s="1"/>
      <c r="B934" s="181"/>
      <c r="C934" s="181"/>
      <c r="D934" s="181"/>
      <c r="E934" s="182"/>
      <c r="F934" s="182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  <c r="AA934" s="181"/>
      <c r="AB934" s="181"/>
      <c r="AC934" s="181"/>
      <c r="AD934" s="181"/>
      <c r="AE934" s="181"/>
      <c r="AF934" s="181"/>
      <c r="AG934" s="181"/>
      <c r="AH934" s="181"/>
      <c r="AI934" s="181"/>
      <c r="AJ934" s="181"/>
      <c r="AK934" s="181"/>
      <c r="AL934" s="181"/>
      <c r="AM934" s="181"/>
      <c r="AN934" s="181"/>
      <c r="AO934" s="181"/>
      <c r="AP934" s="181"/>
      <c r="AQ934" s="181"/>
      <c r="AR934" s="181"/>
      <c r="AS934" s="181"/>
      <c r="AT934" s="181"/>
      <c r="AU934" s="181"/>
      <c r="AV934" s="181"/>
      <c r="AW934" s="181"/>
    </row>
    <row r="935" spans="1:49" ht="13.5" customHeight="1" x14ac:dyDescent="0.3">
      <c r="A935" s="1"/>
      <c r="B935" s="181"/>
      <c r="C935" s="181"/>
      <c r="D935" s="181"/>
      <c r="E935" s="182"/>
      <c r="F935" s="182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  <c r="AA935" s="181"/>
      <c r="AB935" s="181"/>
      <c r="AC935" s="181"/>
      <c r="AD935" s="181"/>
      <c r="AE935" s="181"/>
      <c r="AF935" s="181"/>
      <c r="AG935" s="181"/>
      <c r="AH935" s="181"/>
      <c r="AI935" s="181"/>
      <c r="AJ935" s="181"/>
      <c r="AK935" s="181"/>
      <c r="AL935" s="181"/>
      <c r="AM935" s="181"/>
      <c r="AN935" s="181"/>
      <c r="AO935" s="181"/>
      <c r="AP935" s="181"/>
      <c r="AQ935" s="181"/>
      <c r="AR935" s="181"/>
      <c r="AS935" s="181"/>
      <c r="AT935" s="181"/>
      <c r="AU935" s="181"/>
      <c r="AV935" s="181"/>
      <c r="AW935" s="181"/>
    </row>
    <row r="936" spans="1:49" ht="13.5" customHeight="1" x14ac:dyDescent="0.3">
      <c r="A936" s="1"/>
      <c r="B936" s="181"/>
      <c r="C936" s="181"/>
      <c r="D936" s="181"/>
      <c r="E936" s="182"/>
      <c r="F936" s="182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  <c r="AA936" s="181"/>
      <c r="AB936" s="181"/>
      <c r="AC936" s="181"/>
      <c r="AD936" s="181"/>
      <c r="AE936" s="181"/>
      <c r="AF936" s="181"/>
      <c r="AG936" s="181"/>
      <c r="AH936" s="181"/>
      <c r="AI936" s="181"/>
      <c r="AJ936" s="181"/>
      <c r="AK936" s="181"/>
      <c r="AL936" s="181"/>
      <c r="AM936" s="181"/>
      <c r="AN936" s="181"/>
      <c r="AO936" s="181"/>
      <c r="AP936" s="181"/>
      <c r="AQ936" s="181"/>
      <c r="AR936" s="181"/>
      <c r="AS936" s="181"/>
      <c r="AT936" s="181"/>
      <c r="AU936" s="181"/>
      <c r="AV936" s="181"/>
      <c r="AW936" s="181"/>
    </row>
    <row r="937" spans="1:49" ht="13.5" customHeight="1" x14ac:dyDescent="0.3">
      <c r="A937" s="1"/>
      <c r="B937" s="181"/>
      <c r="C937" s="181"/>
      <c r="D937" s="181"/>
      <c r="E937" s="182"/>
      <c r="F937" s="182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  <c r="AA937" s="181"/>
      <c r="AB937" s="181"/>
      <c r="AC937" s="181"/>
      <c r="AD937" s="181"/>
      <c r="AE937" s="181"/>
      <c r="AF937" s="181"/>
      <c r="AG937" s="181"/>
      <c r="AH937" s="181"/>
      <c r="AI937" s="181"/>
      <c r="AJ937" s="181"/>
      <c r="AK937" s="181"/>
      <c r="AL937" s="181"/>
      <c r="AM937" s="181"/>
      <c r="AN937" s="181"/>
      <c r="AO937" s="181"/>
      <c r="AP937" s="181"/>
      <c r="AQ937" s="181"/>
      <c r="AR937" s="181"/>
      <c r="AS937" s="181"/>
      <c r="AT937" s="181"/>
      <c r="AU937" s="181"/>
      <c r="AV937" s="181"/>
      <c r="AW937" s="181"/>
    </row>
    <row r="938" spans="1:49" ht="13.5" customHeight="1" x14ac:dyDescent="0.3">
      <c r="A938" s="1"/>
      <c r="B938" s="181"/>
      <c r="C938" s="181"/>
      <c r="D938" s="181"/>
      <c r="E938" s="182"/>
      <c r="F938" s="182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  <c r="AA938" s="181"/>
      <c r="AB938" s="181"/>
      <c r="AC938" s="181"/>
      <c r="AD938" s="181"/>
      <c r="AE938" s="181"/>
      <c r="AF938" s="181"/>
      <c r="AG938" s="181"/>
      <c r="AH938" s="181"/>
      <c r="AI938" s="181"/>
      <c r="AJ938" s="181"/>
      <c r="AK938" s="181"/>
      <c r="AL938" s="181"/>
      <c r="AM938" s="181"/>
      <c r="AN938" s="181"/>
      <c r="AO938" s="181"/>
      <c r="AP938" s="181"/>
      <c r="AQ938" s="181"/>
      <c r="AR938" s="181"/>
      <c r="AS938" s="181"/>
      <c r="AT938" s="181"/>
      <c r="AU938" s="181"/>
      <c r="AV938" s="181"/>
      <c r="AW938" s="181"/>
    </row>
    <row r="939" spans="1:49" ht="13.5" customHeight="1" x14ac:dyDescent="0.3">
      <c r="A939" s="1"/>
      <c r="B939" s="181"/>
      <c r="C939" s="181"/>
      <c r="D939" s="181"/>
      <c r="E939" s="182"/>
      <c r="F939" s="182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  <c r="AA939" s="181"/>
      <c r="AB939" s="181"/>
      <c r="AC939" s="181"/>
      <c r="AD939" s="181"/>
      <c r="AE939" s="181"/>
      <c r="AF939" s="181"/>
      <c r="AG939" s="181"/>
      <c r="AH939" s="181"/>
      <c r="AI939" s="181"/>
      <c r="AJ939" s="181"/>
      <c r="AK939" s="181"/>
      <c r="AL939" s="181"/>
      <c r="AM939" s="181"/>
      <c r="AN939" s="181"/>
      <c r="AO939" s="181"/>
      <c r="AP939" s="181"/>
      <c r="AQ939" s="181"/>
      <c r="AR939" s="181"/>
      <c r="AS939" s="181"/>
      <c r="AT939" s="181"/>
      <c r="AU939" s="181"/>
      <c r="AV939" s="181"/>
      <c r="AW939" s="181"/>
    </row>
    <row r="940" spans="1:49" ht="13.5" customHeight="1" x14ac:dyDescent="0.3">
      <c r="A940" s="1"/>
      <c r="B940" s="181"/>
      <c r="C940" s="181"/>
      <c r="D940" s="181"/>
      <c r="E940" s="182"/>
      <c r="F940" s="182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  <c r="AA940" s="181"/>
      <c r="AB940" s="181"/>
      <c r="AC940" s="181"/>
      <c r="AD940" s="181"/>
      <c r="AE940" s="181"/>
      <c r="AF940" s="181"/>
      <c r="AG940" s="181"/>
      <c r="AH940" s="181"/>
      <c r="AI940" s="181"/>
      <c r="AJ940" s="181"/>
      <c r="AK940" s="181"/>
      <c r="AL940" s="181"/>
      <c r="AM940" s="181"/>
      <c r="AN940" s="181"/>
      <c r="AO940" s="181"/>
      <c r="AP940" s="181"/>
      <c r="AQ940" s="181"/>
      <c r="AR940" s="181"/>
      <c r="AS940" s="181"/>
      <c r="AT940" s="181"/>
      <c r="AU940" s="181"/>
      <c r="AV940" s="181"/>
      <c r="AW940" s="181"/>
    </row>
    <row r="941" spans="1:49" ht="13.5" customHeight="1" x14ac:dyDescent="0.3">
      <c r="A941" s="1"/>
      <c r="B941" s="181"/>
      <c r="C941" s="181"/>
      <c r="D941" s="181"/>
      <c r="E941" s="182"/>
      <c r="F941" s="182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  <c r="AA941" s="181"/>
      <c r="AB941" s="181"/>
      <c r="AC941" s="181"/>
      <c r="AD941" s="181"/>
      <c r="AE941" s="181"/>
      <c r="AF941" s="181"/>
      <c r="AG941" s="181"/>
      <c r="AH941" s="181"/>
      <c r="AI941" s="181"/>
      <c r="AJ941" s="181"/>
      <c r="AK941" s="181"/>
      <c r="AL941" s="181"/>
      <c r="AM941" s="181"/>
      <c r="AN941" s="181"/>
      <c r="AO941" s="181"/>
      <c r="AP941" s="181"/>
      <c r="AQ941" s="181"/>
      <c r="AR941" s="181"/>
      <c r="AS941" s="181"/>
      <c r="AT941" s="181"/>
      <c r="AU941" s="181"/>
      <c r="AV941" s="181"/>
      <c r="AW941" s="181"/>
    </row>
    <row r="942" spans="1:49" ht="13.5" customHeight="1" x14ac:dyDescent="0.3">
      <c r="A942" s="1"/>
      <c r="B942" s="181"/>
      <c r="C942" s="181"/>
      <c r="D942" s="181"/>
      <c r="E942" s="182"/>
      <c r="F942" s="182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  <c r="AA942" s="181"/>
      <c r="AB942" s="181"/>
      <c r="AC942" s="181"/>
      <c r="AD942" s="181"/>
      <c r="AE942" s="181"/>
      <c r="AF942" s="181"/>
      <c r="AG942" s="181"/>
      <c r="AH942" s="181"/>
      <c r="AI942" s="181"/>
      <c r="AJ942" s="181"/>
      <c r="AK942" s="181"/>
      <c r="AL942" s="181"/>
      <c r="AM942" s="181"/>
      <c r="AN942" s="181"/>
      <c r="AO942" s="181"/>
      <c r="AP942" s="181"/>
      <c r="AQ942" s="181"/>
      <c r="AR942" s="181"/>
      <c r="AS942" s="181"/>
      <c r="AT942" s="181"/>
      <c r="AU942" s="181"/>
      <c r="AV942" s="181"/>
      <c r="AW942" s="181"/>
    </row>
    <row r="943" spans="1:49" ht="13.5" customHeight="1" x14ac:dyDescent="0.3">
      <c r="A943" s="1"/>
      <c r="B943" s="181"/>
      <c r="C943" s="181"/>
      <c r="D943" s="181"/>
      <c r="E943" s="182"/>
      <c r="F943" s="182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  <c r="AA943" s="181"/>
      <c r="AB943" s="181"/>
      <c r="AC943" s="181"/>
      <c r="AD943" s="181"/>
      <c r="AE943" s="181"/>
      <c r="AF943" s="181"/>
      <c r="AG943" s="181"/>
      <c r="AH943" s="181"/>
      <c r="AI943" s="181"/>
      <c r="AJ943" s="181"/>
      <c r="AK943" s="181"/>
      <c r="AL943" s="181"/>
      <c r="AM943" s="181"/>
      <c r="AN943" s="181"/>
      <c r="AO943" s="181"/>
      <c r="AP943" s="181"/>
      <c r="AQ943" s="181"/>
      <c r="AR943" s="181"/>
      <c r="AS943" s="181"/>
      <c r="AT943" s="181"/>
      <c r="AU943" s="181"/>
      <c r="AV943" s="181"/>
      <c r="AW943" s="181"/>
    </row>
    <row r="944" spans="1:49" ht="13.5" customHeight="1" x14ac:dyDescent="0.3">
      <c r="A944" s="1"/>
      <c r="B944" s="181"/>
      <c r="C944" s="181"/>
      <c r="D944" s="181"/>
      <c r="E944" s="182"/>
      <c r="F944" s="182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  <c r="AA944" s="181"/>
      <c r="AB944" s="181"/>
      <c r="AC944" s="181"/>
      <c r="AD944" s="181"/>
      <c r="AE944" s="181"/>
      <c r="AF944" s="181"/>
      <c r="AG944" s="181"/>
      <c r="AH944" s="181"/>
      <c r="AI944" s="181"/>
      <c r="AJ944" s="181"/>
      <c r="AK944" s="181"/>
      <c r="AL944" s="181"/>
      <c r="AM944" s="181"/>
      <c r="AN944" s="181"/>
      <c r="AO944" s="181"/>
      <c r="AP944" s="181"/>
      <c r="AQ944" s="181"/>
      <c r="AR944" s="181"/>
      <c r="AS944" s="181"/>
      <c r="AT944" s="181"/>
      <c r="AU944" s="181"/>
      <c r="AV944" s="181"/>
      <c r="AW944" s="181"/>
    </row>
    <row r="945" spans="1:49" ht="13.5" customHeight="1" x14ac:dyDescent="0.3">
      <c r="A945" s="1"/>
      <c r="B945" s="181"/>
      <c r="C945" s="181"/>
      <c r="D945" s="181"/>
      <c r="E945" s="182"/>
      <c r="F945" s="182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  <c r="AA945" s="181"/>
      <c r="AB945" s="181"/>
      <c r="AC945" s="181"/>
      <c r="AD945" s="181"/>
      <c r="AE945" s="181"/>
      <c r="AF945" s="181"/>
      <c r="AG945" s="181"/>
      <c r="AH945" s="181"/>
      <c r="AI945" s="181"/>
      <c r="AJ945" s="181"/>
      <c r="AK945" s="181"/>
      <c r="AL945" s="181"/>
      <c r="AM945" s="181"/>
      <c r="AN945" s="181"/>
      <c r="AO945" s="181"/>
      <c r="AP945" s="181"/>
      <c r="AQ945" s="181"/>
      <c r="AR945" s="181"/>
      <c r="AS945" s="181"/>
      <c r="AT945" s="181"/>
      <c r="AU945" s="181"/>
      <c r="AV945" s="181"/>
      <c r="AW945" s="181"/>
    </row>
    <row r="946" spans="1:49" ht="13.5" customHeight="1" x14ac:dyDescent="0.3">
      <c r="A946" s="1"/>
      <c r="B946" s="181"/>
      <c r="C946" s="181"/>
      <c r="D946" s="181"/>
      <c r="E946" s="182"/>
      <c r="F946" s="182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  <c r="AA946" s="181"/>
      <c r="AB946" s="181"/>
      <c r="AC946" s="181"/>
      <c r="AD946" s="181"/>
      <c r="AE946" s="181"/>
      <c r="AF946" s="181"/>
      <c r="AG946" s="181"/>
      <c r="AH946" s="181"/>
      <c r="AI946" s="181"/>
      <c r="AJ946" s="181"/>
      <c r="AK946" s="181"/>
      <c r="AL946" s="181"/>
      <c r="AM946" s="181"/>
      <c r="AN946" s="181"/>
      <c r="AO946" s="181"/>
      <c r="AP946" s="181"/>
      <c r="AQ946" s="181"/>
      <c r="AR946" s="181"/>
      <c r="AS946" s="181"/>
      <c r="AT946" s="181"/>
      <c r="AU946" s="181"/>
      <c r="AV946" s="181"/>
      <c r="AW946" s="181"/>
    </row>
    <row r="947" spans="1:49" ht="13.5" customHeight="1" x14ac:dyDescent="0.3">
      <c r="A947" s="1"/>
      <c r="B947" s="181"/>
      <c r="C947" s="181"/>
      <c r="D947" s="181"/>
      <c r="E947" s="182"/>
      <c r="F947" s="182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  <c r="AA947" s="181"/>
      <c r="AB947" s="181"/>
      <c r="AC947" s="181"/>
      <c r="AD947" s="181"/>
      <c r="AE947" s="181"/>
      <c r="AF947" s="181"/>
      <c r="AG947" s="181"/>
      <c r="AH947" s="181"/>
      <c r="AI947" s="181"/>
      <c r="AJ947" s="181"/>
      <c r="AK947" s="181"/>
      <c r="AL947" s="181"/>
      <c r="AM947" s="181"/>
      <c r="AN947" s="181"/>
      <c r="AO947" s="181"/>
      <c r="AP947" s="181"/>
      <c r="AQ947" s="181"/>
      <c r="AR947" s="181"/>
      <c r="AS947" s="181"/>
      <c r="AT947" s="181"/>
      <c r="AU947" s="181"/>
      <c r="AV947" s="181"/>
      <c r="AW947" s="181"/>
    </row>
    <row r="948" spans="1:49" ht="13.5" customHeight="1" x14ac:dyDescent="0.3">
      <c r="A948" s="1"/>
      <c r="B948" s="181"/>
      <c r="C948" s="181"/>
      <c r="D948" s="181"/>
      <c r="E948" s="182"/>
      <c r="F948" s="182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  <c r="AA948" s="181"/>
      <c r="AB948" s="181"/>
      <c r="AC948" s="181"/>
      <c r="AD948" s="181"/>
      <c r="AE948" s="181"/>
      <c r="AF948" s="181"/>
      <c r="AG948" s="181"/>
      <c r="AH948" s="181"/>
      <c r="AI948" s="181"/>
      <c r="AJ948" s="181"/>
      <c r="AK948" s="181"/>
      <c r="AL948" s="181"/>
      <c r="AM948" s="181"/>
      <c r="AN948" s="181"/>
      <c r="AO948" s="181"/>
      <c r="AP948" s="181"/>
      <c r="AQ948" s="181"/>
      <c r="AR948" s="181"/>
      <c r="AS948" s="181"/>
      <c r="AT948" s="181"/>
      <c r="AU948" s="181"/>
      <c r="AV948" s="181"/>
      <c r="AW948" s="181"/>
    </row>
    <row r="949" spans="1:49" ht="13.5" customHeight="1" x14ac:dyDescent="0.3">
      <c r="A949" s="1"/>
      <c r="B949" s="181"/>
      <c r="C949" s="181"/>
      <c r="D949" s="181"/>
      <c r="E949" s="182"/>
      <c r="F949" s="182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  <c r="AA949" s="181"/>
      <c r="AB949" s="181"/>
      <c r="AC949" s="181"/>
      <c r="AD949" s="181"/>
      <c r="AE949" s="181"/>
      <c r="AF949" s="181"/>
      <c r="AG949" s="181"/>
      <c r="AH949" s="181"/>
      <c r="AI949" s="181"/>
      <c r="AJ949" s="181"/>
      <c r="AK949" s="181"/>
      <c r="AL949" s="181"/>
      <c r="AM949" s="181"/>
      <c r="AN949" s="181"/>
      <c r="AO949" s="181"/>
      <c r="AP949" s="181"/>
      <c r="AQ949" s="181"/>
      <c r="AR949" s="181"/>
      <c r="AS949" s="181"/>
      <c r="AT949" s="181"/>
      <c r="AU949" s="181"/>
      <c r="AV949" s="181"/>
      <c r="AW949" s="181"/>
    </row>
    <row r="950" spans="1:49" ht="13.5" customHeight="1" x14ac:dyDescent="0.3">
      <c r="A950" s="1"/>
      <c r="B950" s="181"/>
      <c r="C950" s="181"/>
      <c r="D950" s="181"/>
      <c r="E950" s="182"/>
      <c r="F950" s="182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  <c r="AA950" s="181"/>
      <c r="AB950" s="181"/>
      <c r="AC950" s="181"/>
      <c r="AD950" s="181"/>
      <c r="AE950" s="181"/>
      <c r="AF950" s="181"/>
      <c r="AG950" s="181"/>
      <c r="AH950" s="181"/>
      <c r="AI950" s="181"/>
      <c r="AJ950" s="181"/>
      <c r="AK950" s="181"/>
      <c r="AL950" s="181"/>
      <c r="AM950" s="181"/>
      <c r="AN950" s="181"/>
      <c r="AO950" s="181"/>
      <c r="AP950" s="181"/>
      <c r="AQ950" s="181"/>
      <c r="AR950" s="181"/>
      <c r="AS950" s="181"/>
      <c r="AT950" s="181"/>
      <c r="AU950" s="181"/>
      <c r="AV950" s="181"/>
      <c r="AW950" s="181"/>
    </row>
    <row r="951" spans="1:49" ht="13.5" customHeight="1" x14ac:dyDescent="0.3">
      <c r="A951" s="1"/>
      <c r="B951" s="181"/>
      <c r="C951" s="181"/>
      <c r="D951" s="181"/>
      <c r="E951" s="182"/>
      <c r="F951" s="182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  <c r="AA951" s="181"/>
      <c r="AB951" s="181"/>
      <c r="AC951" s="181"/>
      <c r="AD951" s="181"/>
      <c r="AE951" s="181"/>
      <c r="AF951" s="181"/>
      <c r="AG951" s="181"/>
      <c r="AH951" s="181"/>
      <c r="AI951" s="181"/>
      <c r="AJ951" s="181"/>
      <c r="AK951" s="181"/>
      <c r="AL951" s="181"/>
      <c r="AM951" s="181"/>
      <c r="AN951" s="181"/>
      <c r="AO951" s="181"/>
      <c r="AP951" s="181"/>
      <c r="AQ951" s="181"/>
      <c r="AR951" s="181"/>
      <c r="AS951" s="181"/>
      <c r="AT951" s="181"/>
      <c r="AU951" s="181"/>
      <c r="AV951" s="181"/>
      <c r="AW951" s="181"/>
    </row>
    <row r="952" spans="1:49" ht="13.5" customHeight="1" x14ac:dyDescent="0.3">
      <c r="A952" s="1"/>
      <c r="B952" s="181"/>
      <c r="C952" s="181"/>
      <c r="D952" s="181"/>
      <c r="E952" s="182"/>
      <c r="F952" s="182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  <c r="AA952" s="181"/>
      <c r="AB952" s="181"/>
      <c r="AC952" s="181"/>
      <c r="AD952" s="181"/>
      <c r="AE952" s="181"/>
      <c r="AF952" s="181"/>
      <c r="AG952" s="181"/>
      <c r="AH952" s="181"/>
      <c r="AI952" s="181"/>
      <c r="AJ952" s="181"/>
      <c r="AK952" s="181"/>
      <c r="AL952" s="181"/>
      <c r="AM952" s="181"/>
      <c r="AN952" s="181"/>
      <c r="AO952" s="181"/>
      <c r="AP952" s="181"/>
      <c r="AQ952" s="181"/>
      <c r="AR952" s="181"/>
      <c r="AS952" s="181"/>
      <c r="AT952" s="181"/>
      <c r="AU952" s="181"/>
      <c r="AV952" s="181"/>
      <c r="AW952" s="181"/>
    </row>
    <row r="953" spans="1:49" ht="13.5" customHeight="1" x14ac:dyDescent="0.3">
      <c r="A953" s="1"/>
      <c r="B953" s="181"/>
      <c r="C953" s="181"/>
      <c r="D953" s="181"/>
      <c r="E953" s="182"/>
      <c r="F953" s="182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  <c r="AA953" s="181"/>
      <c r="AB953" s="181"/>
      <c r="AC953" s="181"/>
      <c r="AD953" s="181"/>
      <c r="AE953" s="181"/>
      <c r="AF953" s="181"/>
      <c r="AG953" s="181"/>
      <c r="AH953" s="181"/>
      <c r="AI953" s="181"/>
      <c r="AJ953" s="181"/>
      <c r="AK953" s="181"/>
      <c r="AL953" s="181"/>
      <c r="AM953" s="181"/>
      <c r="AN953" s="181"/>
      <c r="AO953" s="181"/>
      <c r="AP953" s="181"/>
      <c r="AQ953" s="181"/>
      <c r="AR953" s="181"/>
      <c r="AS953" s="181"/>
      <c r="AT953" s="181"/>
      <c r="AU953" s="181"/>
      <c r="AV953" s="181"/>
      <c r="AW953" s="181"/>
    </row>
    <row r="954" spans="1:49" ht="13.5" customHeight="1" x14ac:dyDescent="0.3">
      <c r="A954" s="1"/>
      <c r="B954" s="181"/>
      <c r="C954" s="181"/>
      <c r="D954" s="181"/>
      <c r="E954" s="182"/>
      <c r="F954" s="182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  <c r="AA954" s="181"/>
      <c r="AB954" s="181"/>
      <c r="AC954" s="181"/>
      <c r="AD954" s="181"/>
      <c r="AE954" s="181"/>
      <c r="AF954" s="181"/>
      <c r="AG954" s="181"/>
      <c r="AH954" s="181"/>
      <c r="AI954" s="181"/>
      <c r="AJ954" s="181"/>
      <c r="AK954" s="181"/>
      <c r="AL954" s="181"/>
      <c r="AM954" s="181"/>
      <c r="AN954" s="181"/>
      <c r="AO954" s="181"/>
      <c r="AP954" s="181"/>
      <c r="AQ954" s="181"/>
      <c r="AR954" s="181"/>
      <c r="AS954" s="181"/>
      <c r="AT954" s="181"/>
      <c r="AU954" s="181"/>
      <c r="AV954" s="181"/>
      <c r="AW954" s="181"/>
    </row>
    <row r="955" spans="1:49" ht="13.5" customHeight="1" x14ac:dyDescent="0.3">
      <c r="A955" s="1"/>
      <c r="B955" s="181"/>
      <c r="C955" s="181"/>
      <c r="D955" s="181"/>
      <c r="E955" s="182"/>
      <c r="F955" s="182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  <c r="AA955" s="181"/>
      <c r="AB955" s="181"/>
      <c r="AC955" s="181"/>
      <c r="AD955" s="181"/>
      <c r="AE955" s="181"/>
      <c r="AF955" s="181"/>
      <c r="AG955" s="181"/>
      <c r="AH955" s="181"/>
      <c r="AI955" s="181"/>
      <c r="AJ955" s="181"/>
      <c r="AK955" s="181"/>
      <c r="AL955" s="181"/>
      <c r="AM955" s="181"/>
      <c r="AN955" s="181"/>
      <c r="AO955" s="181"/>
      <c r="AP955" s="181"/>
      <c r="AQ955" s="181"/>
      <c r="AR955" s="181"/>
      <c r="AS955" s="181"/>
      <c r="AT955" s="181"/>
      <c r="AU955" s="181"/>
      <c r="AV955" s="181"/>
      <c r="AW955" s="181"/>
    </row>
    <row r="956" spans="1:49" ht="13.5" customHeight="1" x14ac:dyDescent="0.3">
      <c r="A956" s="1"/>
      <c r="B956" s="181"/>
      <c r="C956" s="181"/>
      <c r="D956" s="181"/>
      <c r="E956" s="182"/>
      <c r="F956" s="182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  <c r="AA956" s="181"/>
      <c r="AB956" s="181"/>
      <c r="AC956" s="181"/>
      <c r="AD956" s="181"/>
      <c r="AE956" s="181"/>
      <c r="AF956" s="181"/>
      <c r="AG956" s="181"/>
      <c r="AH956" s="181"/>
      <c r="AI956" s="181"/>
      <c r="AJ956" s="181"/>
      <c r="AK956" s="181"/>
      <c r="AL956" s="181"/>
      <c r="AM956" s="181"/>
      <c r="AN956" s="181"/>
      <c r="AO956" s="181"/>
      <c r="AP956" s="181"/>
      <c r="AQ956" s="181"/>
      <c r="AR956" s="181"/>
      <c r="AS956" s="181"/>
      <c r="AT956" s="181"/>
      <c r="AU956" s="181"/>
      <c r="AV956" s="181"/>
      <c r="AW956" s="181"/>
    </row>
    <row r="957" spans="1:49" ht="13.5" customHeight="1" x14ac:dyDescent="0.3">
      <c r="A957" s="1"/>
      <c r="B957" s="181"/>
      <c r="C957" s="181"/>
      <c r="D957" s="181"/>
      <c r="E957" s="182"/>
      <c r="F957" s="182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  <c r="AA957" s="181"/>
      <c r="AB957" s="181"/>
      <c r="AC957" s="181"/>
      <c r="AD957" s="181"/>
      <c r="AE957" s="181"/>
      <c r="AF957" s="181"/>
      <c r="AG957" s="181"/>
      <c r="AH957" s="181"/>
      <c r="AI957" s="181"/>
      <c r="AJ957" s="181"/>
      <c r="AK957" s="181"/>
      <c r="AL957" s="181"/>
      <c r="AM957" s="181"/>
      <c r="AN957" s="181"/>
      <c r="AO957" s="181"/>
      <c r="AP957" s="181"/>
      <c r="AQ957" s="181"/>
      <c r="AR957" s="181"/>
      <c r="AS957" s="181"/>
      <c r="AT957" s="181"/>
      <c r="AU957" s="181"/>
      <c r="AV957" s="181"/>
      <c r="AW957" s="181"/>
    </row>
    <row r="958" spans="1:49" ht="13.5" customHeight="1" x14ac:dyDescent="0.3">
      <c r="A958" s="1"/>
      <c r="B958" s="181"/>
      <c r="C958" s="181"/>
      <c r="D958" s="181"/>
      <c r="E958" s="182"/>
      <c r="F958" s="182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  <c r="AA958" s="181"/>
      <c r="AB958" s="181"/>
      <c r="AC958" s="181"/>
      <c r="AD958" s="181"/>
      <c r="AE958" s="181"/>
      <c r="AF958" s="181"/>
      <c r="AG958" s="181"/>
      <c r="AH958" s="181"/>
      <c r="AI958" s="181"/>
      <c r="AJ958" s="181"/>
      <c r="AK958" s="181"/>
      <c r="AL958" s="181"/>
      <c r="AM958" s="181"/>
      <c r="AN958" s="181"/>
      <c r="AO958" s="181"/>
      <c r="AP958" s="181"/>
      <c r="AQ958" s="181"/>
      <c r="AR958" s="181"/>
      <c r="AS958" s="181"/>
      <c r="AT958" s="181"/>
      <c r="AU958" s="181"/>
      <c r="AV958" s="181"/>
      <c r="AW958" s="181"/>
    </row>
    <row r="959" spans="1:49" ht="13.5" customHeight="1" x14ac:dyDescent="0.3">
      <c r="A959" s="1"/>
      <c r="B959" s="181"/>
      <c r="C959" s="181"/>
      <c r="D959" s="181"/>
      <c r="E959" s="182"/>
      <c r="F959" s="182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  <c r="AA959" s="181"/>
      <c r="AB959" s="181"/>
      <c r="AC959" s="181"/>
      <c r="AD959" s="181"/>
      <c r="AE959" s="181"/>
      <c r="AF959" s="181"/>
      <c r="AG959" s="181"/>
      <c r="AH959" s="181"/>
      <c r="AI959" s="181"/>
      <c r="AJ959" s="181"/>
      <c r="AK959" s="181"/>
      <c r="AL959" s="181"/>
      <c r="AM959" s="181"/>
      <c r="AN959" s="181"/>
      <c r="AO959" s="181"/>
      <c r="AP959" s="181"/>
      <c r="AQ959" s="181"/>
      <c r="AR959" s="181"/>
      <c r="AS959" s="181"/>
      <c r="AT959" s="181"/>
      <c r="AU959" s="181"/>
      <c r="AV959" s="181"/>
      <c r="AW959" s="181"/>
    </row>
    <row r="960" spans="1:49" ht="13.5" customHeight="1" x14ac:dyDescent="0.3">
      <c r="A960" s="1"/>
      <c r="B960" s="181"/>
      <c r="C960" s="181"/>
      <c r="D960" s="181"/>
      <c r="E960" s="182"/>
      <c r="F960" s="182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  <c r="AA960" s="181"/>
      <c r="AB960" s="181"/>
      <c r="AC960" s="181"/>
      <c r="AD960" s="181"/>
      <c r="AE960" s="181"/>
      <c r="AF960" s="181"/>
      <c r="AG960" s="181"/>
      <c r="AH960" s="181"/>
      <c r="AI960" s="181"/>
      <c r="AJ960" s="181"/>
      <c r="AK960" s="181"/>
      <c r="AL960" s="181"/>
      <c r="AM960" s="181"/>
      <c r="AN960" s="181"/>
      <c r="AO960" s="181"/>
      <c r="AP960" s="181"/>
      <c r="AQ960" s="181"/>
      <c r="AR960" s="181"/>
      <c r="AS960" s="181"/>
      <c r="AT960" s="181"/>
      <c r="AU960" s="181"/>
      <c r="AV960" s="181"/>
      <c r="AW960" s="181"/>
    </row>
    <row r="961" spans="1:49" ht="13.5" customHeight="1" x14ac:dyDescent="0.3">
      <c r="A961" s="1"/>
      <c r="B961" s="181"/>
      <c r="C961" s="181"/>
      <c r="D961" s="181"/>
      <c r="E961" s="182"/>
      <c r="F961" s="182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  <c r="AA961" s="181"/>
      <c r="AB961" s="181"/>
      <c r="AC961" s="181"/>
      <c r="AD961" s="181"/>
      <c r="AE961" s="181"/>
      <c r="AF961" s="181"/>
      <c r="AG961" s="181"/>
      <c r="AH961" s="181"/>
      <c r="AI961" s="181"/>
      <c r="AJ961" s="181"/>
      <c r="AK961" s="181"/>
      <c r="AL961" s="181"/>
      <c r="AM961" s="181"/>
      <c r="AN961" s="181"/>
      <c r="AO961" s="181"/>
      <c r="AP961" s="181"/>
      <c r="AQ961" s="181"/>
      <c r="AR961" s="181"/>
      <c r="AS961" s="181"/>
      <c r="AT961" s="181"/>
      <c r="AU961" s="181"/>
      <c r="AV961" s="181"/>
      <c r="AW961" s="181"/>
    </row>
    <row r="962" spans="1:49" ht="13.5" customHeight="1" x14ac:dyDescent="0.3">
      <c r="A962" s="1"/>
      <c r="B962" s="181"/>
      <c r="C962" s="181"/>
      <c r="D962" s="181"/>
      <c r="E962" s="182"/>
      <c r="F962" s="182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  <c r="AA962" s="181"/>
      <c r="AB962" s="181"/>
      <c r="AC962" s="181"/>
      <c r="AD962" s="181"/>
      <c r="AE962" s="181"/>
      <c r="AF962" s="181"/>
      <c r="AG962" s="181"/>
      <c r="AH962" s="181"/>
      <c r="AI962" s="181"/>
      <c r="AJ962" s="181"/>
      <c r="AK962" s="181"/>
      <c r="AL962" s="181"/>
      <c r="AM962" s="181"/>
      <c r="AN962" s="181"/>
      <c r="AO962" s="181"/>
      <c r="AP962" s="181"/>
      <c r="AQ962" s="181"/>
      <c r="AR962" s="181"/>
      <c r="AS962" s="181"/>
      <c r="AT962" s="181"/>
      <c r="AU962" s="181"/>
      <c r="AV962" s="181"/>
      <c r="AW962" s="181"/>
    </row>
    <row r="963" spans="1:49" ht="13.5" customHeight="1" x14ac:dyDescent="0.3">
      <c r="A963" s="1"/>
      <c r="B963" s="181"/>
      <c r="C963" s="181"/>
      <c r="D963" s="181"/>
      <c r="E963" s="182"/>
      <c r="F963" s="182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  <c r="AA963" s="181"/>
      <c r="AB963" s="181"/>
      <c r="AC963" s="181"/>
      <c r="AD963" s="181"/>
      <c r="AE963" s="181"/>
      <c r="AF963" s="181"/>
      <c r="AG963" s="181"/>
      <c r="AH963" s="181"/>
      <c r="AI963" s="181"/>
      <c r="AJ963" s="181"/>
      <c r="AK963" s="181"/>
      <c r="AL963" s="181"/>
      <c r="AM963" s="181"/>
      <c r="AN963" s="181"/>
      <c r="AO963" s="181"/>
      <c r="AP963" s="181"/>
      <c r="AQ963" s="181"/>
      <c r="AR963" s="181"/>
      <c r="AS963" s="181"/>
      <c r="AT963" s="181"/>
      <c r="AU963" s="181"/>
      <c r="AV963" s="181"/>
      <c r="AW963" s="181"/>
    </row>
    <row r="964" spans="1:49" ht="13.5" customHeight="1" x14ac:dyDescent="0.3">
      <c r="A964" s="1"/>
      <c r="B964" s="181"/>
      <c r="C964" s="181"/>
      <c r="D964" s="181"/>
      <c r="E964" s="182"/>
      <c r="F964" s="182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  <c r="AA964" s="181"/>
      <c r="AB964" s="181"/>
      <c r="AC964" s="181"/>
      <c r="AD964" s="181"/>
      <c r="AE964" s="181"/>
      <c r="AF964" s="181"/>
      <c r="AG964" s="181"/>
      <c r="AH964" s="181"/>
      <c r="AI964" s="181"/>
      <c r="AJ964" s="181"/>
      <c r="AK964" s="181"/>
      <c r="AL964" s="181"/>
      <c r="AM964" s="181"/>
      <c r="AN964" s="181"/>
      <c r="AO964" s="181"/>
      <c r="AP964" s="181"/>
      <c r="AQ964" s="181"/>
      <c r="AR964" s="181"/>
      <c r="AS964" s="181"/>
      <c r="AT964" s="181"/>
      <c r="AU964" s="181"/>
      <c r="AV964" s="181"/>
      <c r="AW964" s="181"/>
    </row>
    <row r="965" spans="1:49" ht="13.5" customHeight="1" x14ac:dyDescent="0.3">
      <c r="A965" s="1"/>
      <c r="B965" s="181"/>
      <c r="C965" s="181"/>
      <c r="D965" s="181"/>
      <c r="E965" s="182"/>
      <c r="F965" s="182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  <c r="AA965" s="181"/>
      <c r="AB965" s="181"/>
      <c r="AC965" s="181"/>
      <c r="AD965" s="181"/>
      <c r="AE965" s="181"/>
      <c r="AF965" s="181"/>
      <c r="AG965" s="181"/>
      <c r="AH965" s="181"/>
      <c r="AI965" s="181"/>
      <c r="AJ965" s="181"/>
      <c r="AK965" s="181"/>
      <c r="AL965" s="181"/>
      <c r="AM965" s="181"/>
      <c r="AN965" s="181"/>
      <c r="AO965" s="181"/>
      <c r="AP965" s="181"/>
      <c r="AQ965" s="181"/>
      <c r="AR965" s="181"/>
      <c r="AS965" s="181"/>
      <c r="AT965" s="181"/>
      <c r="AU965" s="181"/>
      <c r="AV965" s="181"/>
      <c r="AW965" s="181"/>
    </row>
    <row r="966" spans="1:49" ht="13.5" customHeight="1" x14ac:dyDescent="0.3">
      <c r="A966" s="1"/>
      <c r="B966" s="181"/>
      <c r="C966" s="181"/>
      <c r="D966" s="181"/>
      <c r="E966" s="182"/>
      <c r="F966" s="182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  <c r="AA966" s="181"/>
      <c r="AB966" s="181"/>
      <c r="AC966" s="181"/>
      <c r="AD966" s="181"/>
      <c r="AE966" s="181"/>
      <c r="AF966" s="181"/>
      <c r="AG966" s="181"/>
      <c r="AH966" s="181"/>
      <c r="AI966" s="181"/>
      <c r="AJ966" s="181"/>
      <c r="AK966" s="181"/>
      <c r="AL966" s="181"/>
      <c r="AM966" s="181"/>
      <c r="AN966" s="181"/>
      <c r="AO966" s="181"/>
      <c r="AP966" s="181"/>
      <c r="AQ966" s="181"/>
      <c r="AR966" s="181"/>
      <c r="AS966" s="181"/>
      <c r="AT966" s="181"/>
      <c r="AU966" s="181"/>
      <c r="AV966" s="181"/>
      <c r="AW966" s="181"/>
    </row>
    <row r="967" spans="1:49" ht="13.5" customHeight="1" x14ac:dyDescent="0.3">
      <c r="A967" s="1"/>
      <c r="B967" s="181"/>
      <c r="C967" s="181"/>
      <c r="D967" s="181"/>
      <c r="E967" s="182"/>
      <c r="F967" s="182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  <c r="AA967" s="181"/>
      <c r="AB967" s="181"/>
      <c r="AC967" s="181"/>
      <c r="AD967" s="181"/>
      <c r="AE967" s="181"/>
      <c r="AF967" s="181"/>
      <c r="AG967" s="181"/>
      <c r="AH967" s="181"/>
      <c r="AI967" s="181"/>
      <c r="AJ967" s="181"/>
      <c r="AK967" s="181"/>
      <c r="AL967" s="181"/>
      <c r="AM967" s="181"/>
      <c r="AN967" s="181"/>
      <c r="AO967" s="181"/>
      <c r="AP967" s="181"/>
      <c r="AQ967" s="181"/>
      <c r="AR967" s="181"/>
      <c r="AS967" s="181"/>
      <c r="AT967" s="181"/>
      <c r="AU967" s="181"/>
      <c r="AV967" s="181"/>
      <c r="AW967" s="181"/>
    </row>
    <row r="968" spans="1:49" ht="13.5" customHeight="1" x14ac:dyDescent="0.3">
      <c r="A968" s="1"/>
      <c r="B968" s="181"/>
      <c r="C968" s="181"/>
      <c r="D968" s="181"/>
      <c r="E968" s="182"/>
      <c r="F968" s="182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  <c r="AA968" s="181"/>
      <c r="AB968" s="181"/>
      <c r="AC968" s="181"/>
      <c r="AD968" s="181"/>
      <c r="AE968" s="181"/>
      <c r="AF968" s="181"/>
      <c r="AG968" s="181"/>
      <c r="AH968" s="181"/>
      <c r="AI968" s="181"/>
      <c r="AJ968" s="181"/>
      <c r="AK968" s="181"/>
      <c r="AL968" s="181"/>
      <c r="AM968" s="181"/>
      <c r="AN968" s="181"/>
      <c r="AO968" s="181"/>
      <c r="AP968" s="181"/>
      <c r="AQ968" s="181"/>
      <c r="AR968" s="181"/>
      <c r="AS968" s="181"/>
      <c r="AT968" s="181"/>
      <c r="AU968" s="181"/>
      <c r="AV968" s="181"/>
      <c r="AW968" s="181"/>
    </row>
    <row r="969" spans="1:49" ht="13.5" customHeight="1" x14ac:dyDescent="0.3">
      <c r="A969" s="1"/>
      <c r="B969" s="181"/>
      <c r="C969" s="181"/>
      <c r="D969" s="181"/>
      <c r="E969" s="182"/>
      <c r="F969" s="182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  <c r="AA969" s="181"/>
      <c r="AB969" s="181"/>
      <c r="AC969" s="181"/>
      <c r="AD969" s="181"/>
      <c r="AE969" s="181"/>
      <c r="AF969" s="181"/>
      <c r="AG969" s="181"/>
      <c r="AH969" s="181"/>
      <c r="AI969" s="181"/>
      <c r="AJ969" s="181"/>
      <c r="AK969" s="181"/>
      <c r="AL969" s="181"/>
      <c r="AM969" s="181"/>
      <c r="AN969" s="181"/>
      <c r="AO969" s="181"/>
      <c r="AP969" s="181"/>
      <c r="AQ969" s="181"/>
      <c r="AR969" s="181"/>
      <c r="AS969" s="181"/>
      <c r="AT969" s="181"/>
      <c r="AU969" s="181"/>
      <c r="AV969" s="181"/>
      <c r="AW969" s="181"/>
    </row>
    <row r="970" spans="1:49" ht="13.5" customHeight="1" x14ac:dyDescent="0.3">
      <c r="A970" s="1"/>
      <c r="B970" s="181"/>
      <c r="C970" s="181"/>
      <c r="D970" s="181"/>
      <c r="E970" s="182"/>
      <c r="F970" s="182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  <c r="AA970" s="181"/>
      <c r="AB970" s="181"/>
      <c r="AC970" s="181"/>
      <c r="AD970" s="181"/>
      <c r="AE970" s="181"/>
      <c r="AF970" s="181"/>
      <c r="AG970" s="181"/>
      <c r="AH970" s="181"/>
      <c r="AI970" s="181"/>
      <c r="AJ970" s="181"/>
      <c r="AK970" s="181"/>
      <c r="AL970" s="181"/>
      <c r="AM970" s="181"/>
      <c r="AN970" s="181"/>
      <c r="AO970" s="181"/>
      <c r="AP970" s="181"/>
      <c r="AQ970" s="181"/>
      <c r="AR970" s="181"/>
      <c r="AS970" s="181"/>
      <c r="AT970" s="181"/>
      <c r="AU970" s="181"/>
      <c r="AV970" s="181"/>
      <c r="AW970" s="181"/>
    </row>
    <row r="971" spans="1:49" ht="13.5" customHeight="1" x14ac:dyDescent="0.3">
      <c r="A971" s="1"/>
      <c r="B971" s="181"/>
      <c r="C971" s="181"/>
      <c r="D971" s="181"/>
      <c r="E971" s="182"/>
      <c r="F971" s="182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  <c r="AA971" s="181"/>
      <c r="AB971" s="181"/>
      <c r="AC971" s="181"/>
      <c r="AD971" s="181"/>
      <c r="AE971" s="181"/>
      <c r="AF971" s="181"/>
      <c r="AG971" s="181"/>
      <c r="AH971" s="181"/>
      <c r="AI971" s="181"/>
      <c r="AJ971" s="181"/>
      <c r="AK971" s="181"/>
      <c r="AL971" s="181"/>
      <c r="AM971" s="181"/>
      <c r="AN971" s="181"/>
      <c r="AO971" s="181"/>
      <c r="AP971" s="181"/>
      <c r="AQ971" s="181"/>
      <c r="AR971" s="181"/>
      <c r="AS971" s="181"/>
      <c r="AT971" s="181"/>
      <c r="AU971" s="181"/>
      <c r="AV971" s="181"/>
      <c r="AW971" s="181"/>
    </row>
    <row r="972" spans="1:49" ht="13.5" customHeight="1" x14ac:dyDescent="0.3">
      <c r="A972" s="1"/>
      <c r="B972" s="181"/>
      <c r="C972" s="181"/>
      <c r="D972" s="181"/>
      <c r="E972" s="182"/>
      <c r="F972" s="182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  <c r="AA972" s="181"/>
      <c r="AB972" s="181"/>
      <c r="AC972" s="181"/>
      <c r="AD972" s="181"/>
      <c r="AE972" s="181"/>
      <c r="AF972" s="181"/>
      <c r="AG972" s="181"/>
      <c r="AH972" s="181"/>
      <c r="AI972" s="181"/>
      <c r="AJ972" s="181"/>
      <c r="AK972" s="181"/>
      <c r="AL972" s="181"/>
      <c r="AM972" s="181"/>
      <c r="AN972" s="181"/>
      <c r="AO972" s="181"/>
      <c r="AP972" s="181"/>
      <c r="AQ972" s="181"/>
      <c r="AR972" s="181"/>
      <c r="AS972" s="181"/>
      <c r="AT972" s="181"/>
      <c r="AU972" s="181"/>
      <c r="AV972" s="181"/>
      <c r="AW972" s="181"/>
    </row>
    <row r="973" spans="1:49" ht="13.5" customHeight="1" x14ac:dyDescent="0.3">
      <c r="A973" s="1"/>
      <c r="B973" s="181"/>
      <c r="C973" s="181"/>
      <c r="D973" s="181"/>
      <c r="E973" s="182"/>
      <c r="F973" s="182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  <c r="AA973" s="181"/>
      <c r="AB973" s="181"/>
      <c r="AC973" s="181"/>
      <c r="AD973" s="181"/>
      <c r="AE973" s="181"/>
      <c r="AF973" s="181"/>
      <c r="AG973" s="181"/>
      <c r="AH973" s="181"/>
      <c r="AI973" s="181"/>
      <c r="AJ973" s="181"/>
      <c r="AK973" s="181"/>
      <c r="AL973" s="181"/>
      <c r="AM973" s="181"/>
      <c r="AN973" s="181"/>
      <c r="AO973" s="181"/>
      <c r="AP973" s="181"/>
      <c r="AQ973" s="181"/>
      <c r="AR973" s="181"/>
      <c r="AS973" s="181"/>
      <c r="AT973" s="181"/>
      <c r="AU973" s="181"/>
      <c r="AV973" s="181"/>
      <c r="AW973" s="181"/>
    </row>
    <row r="974" spans="1:49" ht="13.5" customHeight="1" x14ac:dyDescent="0.3">
      <c r="A974" s="1"/>
      <c r="B974" s="181"/>
      <c r="C974" s="181"/>
      <c r="D974" s="181"/>
      <c r="E974" s="182"/>
      <c r="F974" s="182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  <c r="AA974" s="181"/>
      <c r="AB974" s="181"/>
      <c r="AC974" s="181"/>
      <c r="AD974" s="181"/>
      <c r="AE974" s="181"/>
      <c r="AF974" s="181"/>
      <c r="AG974" s="181"/>
      <c r="AH974" s="181"/>
      <c r="AI974" s="181"/>
      <c r="AJ974" s="181"/>
      <c r="AK974" s="181"/>
      <c r="AL974" s="181"/>
      <c r="AM974" s="181"/>
      <c r="AN974" s="181"/>
      <c r="AO974" s="181"/>
      <c r="AP974" s="181"/>
      <c r="AQ974" s="181"/>
      <c r="AR974" s="181"/>
      <c r="AS974" s="181"/>
      <c r="AT974" s="181"/>
      <c r="AU974" s="181"/>
      <c r="AV974" s="181"/>
      <c r="AW974" s="181"/>
    </row>
    <row r="975" spans="1:49" ht="13.5" customHeight="1" x14ac:dyDescent="0.3">
      <c r="A975" s="1"/>
      <c r="B975" s="181"/>
      <c r="C975" s="181"/>
      <c r="D975" s="181"/>
      <c r="E975" s="182"/>
      <c r="F975" s="182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  <c r="AA975" s="181"/>
      <c r="AB975" s="181"/>
      <c r="AC975" s="181"/>
      <c r="AD975" s="181"/>
      <c r="AE975" s="181"/>
      <c r="AF975" s="181"/>
      <c r="AG975" s="181"/>
      <c r="AH975" s="181"/>
      <c r="AI975" s="181"/>
      <c r="AJ975" s="181"/>
      <c r="AK975" s="181"/>
      <c r="AL975" s="181"/>
      <c r="AM975" s="181"/>
      <c r="AN975" s="181"/>
      <c r="AO975" s="181"/>
      <c r="AP975" s="181"/>
      <c r="AQ975" s="181"/>
      <c r="AR975" s="181"/>
      <c r="AS975" s="181"/>
      <c r="AT975" s="181"/>
      <c r="AU975" s="181"/>
      <c r="AV975" s="181"/>
      <c r="AW975" s="181"/>
    </row>
    <row r="976" spans="1:49" ht="13.5" customHeight="1" x14ac:dyDescent="0.3">
      <c r="A976" s="1"/>
      <c r="B976" s="181"/>
      <c r="C976" s="181"/>
      <c r="D976" s="181"/>
      <c r="E976" s="182"/>
      <c r="F976" s="182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  <c r="AA976" s="181"/>
      <c r="AB976" s="181"/>
      <c r="AC976" s="181"/>
      <c r="AD976" s="181"/>
      <c r="AE976" s="181"/>
      <c r="AF976" s="181"/>
      <c r="AG976" s="181"/>
      <c r="AH976" s="181"/>
      <c r="AI976" s="181"/>
      <c r="AJ976" s="181"/>
      <c r="AK976" s="181"/>
      <c r="AL976" s="181"/>
      <c r="AM976" s="181"/>
      <c r="AN976" s="181"/>
      <c r="AO976" s="181"/>
      <c r="AP976" s="181"/>
      <c r="AQ976" s="181"/>
      <c r="AR976" s="181"/>
      <c r="AS976" s="181"/>
      <c r="AT976" s="181"/>
      <c r="AU976" s="181"/>
      <c r="AV976" s="181"/>
      <c r="AW976" s="181"/>
    </row>
    <row r="977" spans="1:49" ht="13.5" customHeight="1" x14ac:dyDescent="0.3">
      <c r="A977" s="1"/>
      <c r="B977" s="181"/>
      <c r="C977" s="181"/>
      <c r="D977" s="181"/>
      <c r="E977" s="182"/>
      <c r="F977" s="182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  <c r="AA977" s="181"/>
      <c r="AB977" s="181"/>
      <c r="AC977" s="181"/>
      <c r="AD977" s="181"/>
      <c r="AE977" s="181"/>
      <c r="AF977" s="181"/>
      <c r="AG977" s="181"/>
      <c r="AH977" s="181"/>
      <c r="AI977" s="181"/>
      <c r="AJ977" s="181"/>
      <c r="AK977" s="181"/>
      <c r="AL977" s="181"/>
      <c r="AM977" s="181"/>
      <c r="AN977" s="181"/>
      <c r="AO977" s="181"/>
      <c r="AP977" s="181"/>
      <c r="AQ977" s="181"/>
      <c r="AR977" s="181"/>
      <c r="AS977" s="181"/>
      <c r="AT977" s="181"/>
      <c r="AU977" s="181"/>
      <c r="AV977" s="181"/>
      <c r="AW977" s="181"/>
    </row>
    <row r="978" spans="1:49" ht="13.5" customHeight="1" x14ac:dyDescent="0.3">
      <c r="A978" s="1"/>
      <c r="B978" s="181"/>
      <c r="C978" s="181"/>
      <c r="D978" s="181"/>
      <c r="E978" s="182"/>
      <c r="F978" s="182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  <c r="AA978" s="181"/>
      <c r="AB978" s="181"/>
      <c r="AC978" s="181"/>
      <c r="AD978" s="181"/>
      <c r="AE978" s="181"/>
      <c r="AF978" s="181"/>
      <c r="AG978" s="181"/>
      <c r="AH978" s="181"/>
      <c r="AI978" s="181"/>
      <c r="AJ978" s="181"/>
      <c r="AK978" s="181"/>
      <c r="AL978" s="181"/>
      <c r="AM978" s="181"/>
      <c r="AN978" s="181"/>
      <c r="AO978" s="181"/>
      <c r="AP978" s="181"/>
      <c r="AQ978" s="181"/>
      <c r="AR978" s="181"/>
      <c r="AS978" s="181"/>
      <c r="AT978" s="181"/>
      <c r="AU978" s="181"/>
      <c r="AV978" s="181"/>
      <c r="AW978" s="181"/>
    </row>
    <row r="979" spans="1:49" ht="13.5" customHeight="1" x14ac:dyDescent="0.3">
      <c r="A979" s="1"/>
      <c r="B979" s="181"/>
      <c r="C979" s="181"/>
      <c r="D979" s="181"/>
      <c r="E979" s="182"/>
      <c r="F979" s="182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  <c r="AA979" s="181"/>
      <c r="AB979" s="181"/>
      <c r="AC979" s="181"/>
      <c r="AD979" s="181"/>
      <c r="AE979" s="181"/>
      <c r="AF979" s="181"/>
      <c r="AG979" s="181"/>
      <c r="AH979" s="181"/>
      <c r="AI979" s="181"/>
      <c r="AJ979" s="181"/>
      <c r="AK979" s="181"/>
      <c r="AL979" s="181"/>
      <c r="AM979" s="181"/>
      <c r="AN979" s="181"/>
      <c r="AO979" s="181"/>
      <c r="AP979" s="181"/>
      <c r="AQ979" s="181"/>
      <c r="AR979" s="181"/>
      <c r="AS979" s="181"/>
      <c r="AT979" s="181"/>
      <c r="AU979" s="181"/>
      <c r="AV979" s="181"/>
      <c r="AW979" s="181"/>
    </row>
    <row r="980" spans="1:49" ht="13.5" customHeight="1" x14ac:dyDescent="0.3">
      <c r="A980" s="1"/>
      <c r="B980" s="181"/>
      <c r="C980" s="181"/>
      <c r="D980" s="181"/>
      <c r="E980" s="182"/>
      <c r="F980" s="182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  <c r="AA980" s="181"/>
      <c r="AB980" s="181"/>
      <c r="AC980" s="181"/>
      <c r="AD980" s="181"/>
      <c r="AE980" s="181"/>
      <c r="AF980" s="181"/>
      <c r="AG980" s="181"/>
      <c r="AH980" s="181"/>
      <c r="AI980" s="181"/>
      <c r="AJ980" s="181"/>
      <c r="AK980" s="181"/>
      <c r="AL980" s="181"/>
      <c r="AM980" s="181"/>
      <c r="AN980" s="181"/>
      <c r="AO980" s="181"/>
      <c r="AP980" s="181"/>
      <c r="AQ980" s="181"/>
      <c r="AR980" s="181"/>
      <c r="AS980" s="181"/>
      <c r="AT980" s="181"/>
      <c r="AU980" s="181"/>
      <c r="AV980" s="181"/>
      <c r="AW980" s="181"/>
    </row>
    <row r="981" spans="1:49" ht="13.5" customHeight="1" x14ac:dyDescent="0.3">
      <c r="A981" s="1"/>
      <c r="B981" s="181"/>
      <c r="C981" s="181"/>
      <c r="D981" s="181"/>
      <c r="E981" s="182"/>
      <c r="F981" s="182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  <c r="AA981" s="181"/>
      <c r="AB981" s="181"/>
      <c r="AC981" s="181"/>
      <c r="AD981" s="181"/>
      <c r="AE981" s="181"/>
      <c r="AF981" s="181"/>
      <c r="AG981" s="181"/>
      <c r="AH981" s="181"/>
      <c r="AI981" s="181"/>
      <c r="AJ981" s="181"/>
      <c r="AK981" s="181"/>
      <c r="AL981" s="181"/>
      <c r="AM981" s="181"/>
      <c r="AN981" s="181"/>
      <c r="AO981" s="181"/>
      <c r="AP981" s="181"/>
      <c r="AQ981" s="181"/>
      <c r="AR981" s="181"/>
      <c r="AS981" s="181"/>
      <c r="AT981" s="181"/>
      <c r="AU981" s="181"/>
      <c r="AV981" s="181"/>
      <c r="AW981" s="181"/>
    </row>
    <row r="982" spans="1:49" ht="13.5" customHeight="1" x14ac:dyDescent="0.3">
      <c r="A982" s="1"/>
      <c r="B982" s="181"/>
      <c r="C982" s="181"/>
      <c r="D982" s="181"/>
      <c r="E982" s="182"/>
      <c r="F982" s="182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  <c r="AA982" s="181"/>
      <c r="AB982" s="181"/>
      <c r="AC982" s="181"/>
      <c r="AD982" s="181"/>
      <c r="AE982" s="181"/>
      <c r="AF982" s="181"/>
      <c r="AG982" s="181"/>
      <c r="AH982" s="181"/>
      <c r="AI982" s="181"/>
      <c r="AJ982" s="181"/>
      <c r="AK982" s="181"/>
      <c r="AL982" s="181"/>
      <c r="AM982" s="181"/>
      <c r="AN982" s="181"/>
      <c r="AO982" s="181"/>
      <c r="AP982" s="181"/>
      <c r="AQ982" s="181"/>
      <c r="AR982" s="181"/>
      <c r="AS982" s="181"/>
      <c r="AT982" s="181"/>
      <c r="AU982" s="181"/>
      <c r="AV982" s="181"/>
      <c r="AW982" s="181"/>
    </row>
    <row r="983" spans="1:49" ht="13.5" customHeight="1" x14ac:dyDescent="0.3">
      <c r="A983" s="1"/>
      <c r="B983" s="181"/>
      <c r="C983" s="181"/>
      <c r="D983" s="181"/>
      <c r="E983" s="182"/>
      <c r="F983" s="182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  <c r="AA983" s="181"/>
      <c r="AB983" s="181"/>
      <c r="AC983" s="181"/>
      <c r="AD983" s="181"/>
      <c r="AE983" s="181"/>
      <c r="AF983" s="181"/>
      <c r="AG983" s="181"/>
      <c r="AH983" s="181"/>
      <c r="AI983" s="181"/>
      <c r="AJ983" s="181"/>
      <c r="AK983" s="181"/>
      <c r="AL983" s="181"/>
      <c r="AM983" s="181"/>
      <c r="AN983" s="181"/>
      <c r="AO983" s="181"/>
      <c r="AP983" s="181"/>
      <c r="AQ983" s="181"/>
      <c r="AR983" s="181"/>
      <c r="AS983" s="181"/>
      <c r="AT983" s="181"/>
      <c r="AU983" s="181"/>
      <c r="AV983" s="181"/>
      <c r="AW983" s="181"/>
    </row>
    <row r="984" spans="1:49" ht="13.5" customHeight="1" x14ac:dyDescent="0.3">
      <c r="A984" s="1"/>
      <c r="B984" s="181"/>
      <c r="C984" s="181"/>
      <c r="D984" s="181"/>
      <c r="E984" s="182"/>
      <c r="F984" s="182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  <c r="AA984" s="181"/>
      <c r="AB984" s="181"/>
      <c r="AC984" s="181"/>
      <c r="AD984" s="181"/>
      <c r="AE984" s="181"/>
      <c r="AF984" s="181"/>
      <c r="AG984" s="181"/>
      <c r="AH984" s="181"/>
      <c r="AI984" s="181"/>
      <c r="AJ984" s="181"/>
      <c r="AK984" s="181"/>
      <c r="AL984" s="181"/>
      <c r="AM984" s="181"/>
      <c r="AN984" s="181"/>
      <c r="AO984" s="181"/>
      <c r="AP984" s="181"/>
      <c r="AQ984" s="181"/>
      <c r="AR984" s="181"/>
      <c r="AS984" s="181"/>
      <c r="AT984" s="181"/>
      <c r="AU984" s="181"/>
      <c r="AV984" s="181"/>
      <c r="AW984" s="181"/>
    </row>
    <row r="985" spans="1:49" ht="13.5" customHeight="1" x14ac:dyDescent="0.3">
      <c r="A985" s="1"/>
      <c r="B985" s="181"/>
      <c r="C985" s="181"/>
      <c r="D985" s="181"/>
      <c r="E985" s="182"/>
      <c r="F985" s="182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  <c r="AA985" s="181"/>
      <c r="AB985" s="181"/>
      <c r="AC985" s="181"/>
      <c r="AD985" s="181"/>
      <c r="AE985" s="181"/>
      <c r="AF985" s="181"/>
      <c r="AG985" s="181"/>
      <c r="AH985" s="181"/>
      <c r="AI985" s="181"/>
      <c r="AJ985" s="181"/>
      <c r="AK985" s="181"/>
      <c r="AL985" s="181"/>
      <c r="AM985" s="181"/>
      <c r="AN985" s="181"/>
      <c r="AO985" s="181"/>
      <c r="AP985" s="181"/>
      <c r="AQ985" s="181"/>
      <c r="AR985" s="181"/>
      <c r="AS985" s="181"/>
      <c r="AT985" s="181"/>
      <c r="AU985" s="181"/>
      <c r="AV985" s="181"/>
      <c r="AW985" s="181"/>
    </row>
    <row r="986" spans="1:49" ht="13.5" customHeight="1" x14ac:dyDescent="0.3">
      <c r="A986" s="1"/>
      <c r="B986" s="181"/>
      <c r="C986" s="181"/>
      <c r="D986" s="181"/>
      <c r="E986" s="182"/>
      <c r="F986" s="182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  <c r="AA986" s="181"/>
      <c r="AB986" s="181"/>
      <c r="AC986" s="181"/>
      <c r="AD986" s="181"/>
      <c r="AE986" s="181"/>
      <c r="AF986" s="181"/>
      <c r="AG986" s="181"/>
      <c r="AH986" s="181"/>
      <c r="AI986" s="181"/>
      <c r="AJ986" s="181"/>
      <c r="AK986" s="181"/>
      <c r="AL986" s="181"/>
      <c r="AM986" s="181"/>
      <c r="AN986" s="181"/>
      <c r="AO986" s="181"/>
      <c r="AP986" s="181"/>
      <c r="AQ986" s="181"/>
      <c r="AR986" s="181"/>
      <c r="AS986" s="181"/>
      <c r="AT986" s="181"/>
      <c r="AU986" s="181"/>
      <c r="AV986" s="181"/>
      <c r="AW986" s="181"/>
    </row>
    <row r="987" spans="1:49" ht="13.5" customHeight="1" x14ac:dyDescent="0.3">
      <c r="A987" s="1"/>
      <c r="B987" s="181"/>
      <c r="C987" s="181"/>
      <c r="D987" s="181"/>
      <c r="E987" s="182"/>
      <c r="F987" s="182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  <c r="AA987" s="181"/>
      <c r="AB987" s="181"/>
      <c r="AC987" s="181"/>
      <c r="AD987" s="181"/>
      <c r="AE987" s="181"/>
      <c r="AF987" s="181"/>
      <c r="AG987" s="181"/>
      <c r="AH987" s="181"/>
      <c r="AI987" s="181"/>
      <c r="AJ987" s="181"/>
      <c r="AK987" s="181"/>
      <c r="AL987" s="181"/>
      <c r="AM987" s="181"/>
      <c r="AN987" s="181"/>
      <c r="AO987" s="181"/>
      <c r="AP987" s="181"/>
      <c r="AQ987" s="181"/>
      <c r="AR987" s="181"/>
      <c r="AS987" s="181"/>
      <c r="AT987" s="181"/>
      <c r="AU987" s="181"/>
      <c r="AV987" s="181"/>
      <c r="AW987" s="181"/>
    </row>
    <row r="988" spans="1:49" ht="13.5" customHeight="1" x14ac:dyDescent="0.3">
      <c r="A988" s="1"/>
      <c r="B988" s="181"/>
      <c r="C988" s="181"/>
      <c r="D988" s="181"/>
      <c r="E988" s="182"/>
      <c r="F988" s="182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  <c r="AA988" s="181"/>
      <c r="AB988" s="181"/>
      <c r="AC988" s="181"/>
      <c r="AD988" s="181"/>
      <c r="AE988" s="181"/>
      <c r="AF988" s="181"/>
      <c r="AG988" s="181"/>
      <c r="AH988" s="181"/>
      <c r="AI988" s="181"/>
      <c r="AJ988" s="181"/>
      <c r="AK988" s="181"/>
      <c r="AL988" s="181"/>
      <c r="AM988" s="181"/>
      <c r="AN988" s="181"/>
      <c r="AO988" s="181"/>
      <c r="AP988" s="181"/>
      <c r="AQ988" s="181"/>
      <c r="AR988" s="181"/>
      <c r="AS988" s="181"/>
      <c r="AT988" s="181"/>
      <c r="AU988" s="181"/>
      <c r="AV988" s="181"/>
      <c r="AW988" s="181"/>
    </row>
    <row r="989" spans="1:49" ht="13.5" customHeight="1" x14ac:dyDescent="0.3">
      <c r="A989" s="1"/>
      <c r="B989" s="181"/>
      <c r="C989" s="181"/>
      <c r="D989" s="181"/>
      <c r="E989" s="182"/>
      <c r="F989" s="182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  <c r="AA989" s="181"/>
      <c r="AB989" s="181"/>
      <c r="AC989" s="181"/>
      <c r="AD989" s="181"/>
      <c r="AE989" s="181"/>
      <c r="AF989" s="181"/>
      <c r="AG989" s="181"/>
      <c r="AH989" s="181"/>
      <c r="AI989" s="181"/>
      <c r="AJ989" s="181"/>
      <c r="AK989" s="181"/>
      <c r="AL989" s="181"/>
      <c r="AM989" s="181"/>
      <c r="AN989" s="181"/>
      <c r="AO989" s="181"/>
      <c r="AP989" s="181"/>
      <c r="AQ989" s="181"/>
      <c r="AR989" s="181"/>
      <c r="AS989" s="181"/>
      <c r="AT989" s="181"/>
      <c r="AU989" s="181"/>
      <c r="AV989" s="181"/>
      <c r="AW989" s="181"/>
    </row>
    <row r="990" spans="1:49" ht="13.5" customHeight="1" x14ac:dyDescent="0.3">
      <c r="A990" s="1"/>
      <c r="B990" s="181"/>
      <c r="C990" s="181"/>
      <c r="D990" s="181"/>
      <c r="E990" s="182"/>
      <c r="F990" s="182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  <c r="AA990" s="181"/>
      <c r="AB990" s="181"/>
      <c r="AC990" s="181"/>
      <c r="AD990" s="181"/>
      <c r="AE990" s="181"/>
      <c r="AF990" s="181"/>
      <c r="AG990" s="181"/>
      <c r="AH990" s="181"/>
      <c r="AI990" s="181"/>
      <c r="AJ990" s="181"/>
      <c r="AK990" s="181"/>
      <c r="AL990" s="181"/>
      <c r="AM990" s="181"/>
      <c r="AN990" s="181"/>
      <c r="AO990" s="181"/>
      <c r="AP990" s="181"/>
      <c r="AQ990" s="181"/>
      <c r="AR990" s="181"/>
      <c r="AS990" s="181"/>
      <c r="AT990" s="181"/>
      <c r="AU990" s="181"/>
      <c r="AV990" s="181"/>
      <c r="AW990" s="181"/>
    </row>
    <row r="991" spans="1:49" ht="13.5" customHeight="1" x14ac:dyDescent="0.3">
      <c r="A991" s="1"/>
      <c r="B991" s="181"/>
      <c r="C991" s="181"/>
      <c r="D991" s="181"/>
      <c r="E991" s="182"/>
      <c r="F991" s="182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  <c r="AA991" s="181"/>
      <c r="AB991" s="181"/>
      <c r="AC991" s="181"/>
      <c r="AD991" s="181"/>
      <c r="AE991" s="181"/>
      <c r="AF991" s="181"/>
      <c r="AG991" s="181"/>
      <c r="AH991" s="181"/>
      <c r="AI991" s="181"/>
      <c r="AJ991" s="181"/>
      <c r="AK991" s="181"/>
      <c r="AL991" s="181"/>
      <c r="AM991" s="181"/>
      <c r="AN991" s="181"/>
      <c r="AO991" s="181"/>
      <c r="AP991" s="181"/>
      <c r="AQ991" s="181"/>
      <c r="AR991" s="181"/>
      <c r="AS991" s="181"/>
      <c r="AT991" s="181"/>
      <c r="AU991" s="181"/>
      <c r="AV991" s="181"/>
      <c r="AW991" s="181"/>
    </row>
    <row r="992" spans="1:49" ht="13.5" customHeight="1" x14ac:dyDescent="0.3">
      <c r="A992" s="1"/>
      <c r="B992" s="181"/>
      <c r="C992" s="181"/>
      <c r="D992" s="181"/>
      <c r="E992" s="182"/>
      <c r="F992" s="182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  <c r="AA992" s="181"/>
      <c r="AB992" s="181"/>
      <c r="AC992" s="181"/>
      <c r="AD992" s="181"/>
      <c r="AE992" s="181"/>
      <c r="AF992" s="181"/>
      <c r="AG992" s="181"/>
      <c r="AH992" s="181"/>
      <c r="AI992" s="181"/>
      <c r="AJ992" s="181"/>
      <c r="AK992" s="181"/>
      <c r="AL992" s="181"/>
      <c r="AM992" s="181"/>
      <c r="AN992" s="181"/>
      <c r="AO992" s="181"/>
      <c r="AP992" s="181"/>
      <c r="AQ992" s="181"/>
      <c r="AR992" s="181"/>
      <c r="AS992" s="181"/>
      <c r="AT992" s="181"/>
      <c r="AU992" s="181"/>
      <c r="AV992" s="181"/>
      <c r="AW992" s="181"/>
    </row>
    <row r="993" spans="1:49" ht="13.5" customHeight="1" x14ac:dyDescent="0.3">
      <c r="A993" s="1"/>
      <c r="B993" s="181"/>
      <c r="C993" s="181"/>
      <c r="D993" s="181"/>
      <c r="E993" s="182"/>
      <c r="F993" s="182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  <c r="AA993" s="181"/>
      <c r="AB993" s="181"/>
      <c r="AC993" s="181"/>
      <c r="AD993" s="181"/>
      <c r="AE993" s="181"/>
      <c r="AF993" s="181"/>
      <c r="AG993" s="181"/>
      <c r="AH993" s="181"/>
      <c r="AI993" s="181"/>
      <c r="AJ993" s="181"/>
      <c r="AK993" s="181"/>
      <c r="AL993" s="181"/>
      <c r="AM993" s="181"/>
      <c r="AN993" s="181"/>
      <c r="AO993" s="181"/>
      <c r="AP993" s="181"/>
      <c r="AQ993" s="181"/>
      <c r="AR993" s="181"/>
      <c r="AS993" s="181"/>
      <c r="AT993" s="181"/>
      <c r="AU993" s="181"/>
      <c r="AV993" s="181"/>
      <c r="AW993" s="181"/>
    </row>
    <row r="994" spans="1:49" ht="13.5" customHeight="1" x14ac:dyDescent="0.3">
      <c r="A994" s="1"/>
      <c r="B994" s="181"/>
      <c r="C994" s="181"/>
      <c r="D994" s="181"/>
      <c r="E994" s="182"/>
      <c r="F994" s="182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  <c r="AA994" s="181"/>
      <c r="AB994" s="181"/>
      <c r="AC994" s="181"/>
      <c r="AD994" s="181"/>
      <c r="AE994" s="181"/>
      <c r="AF994" s="181"/>
      <c r="AG994" s="181"/>
      <c r="AH994" s="181"/>
      <c r="AI994" s="181"/>
      <c r="AJ994" s="181"/>
      <c r="AK994" s="181"/>
      <c r="AL994" s="181"/>
      <c r="AM994" s="181"/>
      <c r="AN994" s="181"/>
      <c r="AO994" s="181"/>
      <c r="AP994" s="181"/>
      <c r="AQ994" s="181"/>
      <c r="AR994" s="181"/>
      <c r="AS994" s="181"/>
      <c r="AT994" s="181"/>
      <c r="AU994" s="181"/>
      <c r="AV994" s="181"/>
      <c r="AW994" s="181"/>
    </row>
    <row r="995" spans="1:49" ht="13.5" customHeight="1" x14ac:dyDescent="0.3">
      <c r="A995" s="1"/>
      <c r="B995" s="181"/>
      <c r="C995" s="181"/>
      <c r="D995" s="181"/>
      <c r="E995" s="182"/>
      <c r="F995" s="182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  <c r="AA995" s="181"/>
      <c r="AB995" s="181"/>
      <c r="AC995" s="181"/>
      <c r="AD995" s="181"/>
      <c r="AE995" s="181"/>
      <c r="AF995" s="181"/>
      <c r="AG995" s="181"/>
      <c r="AH995" s="181"/>
      <c r="AI995" s="181"/>
      <c r="AJ995" s="181"/>
      <c r="AK995" s="181"/>
      <c r="AL995" s="181"/>
      <c r="AM995" s="181"/>
      <c r="AN995" s="181"/>
      <c r="AO995" s="181"/>
      <c r="AP995" s="181"/>
      <c r="AQ995" s="181"/>
      <c r="AR995" s="181"/>
      <c r="AS995" s="181"/>
      <c r="AT995" s="181"/>
      <c r="AU995" s="181"/>
      <c r="AV995" s="181"/>
      <c r="AW995" s="181"/>
    </row>
    <row r="996" spans="1:49" ht="13.5" customHeight="1" x14ac:dyDescent="0.3">
      <c r="A996" s="1"/>
      <c r="B996" s="181"/>
      <c r="C996" s="181"/>
      <c r="D996" s="181"/>
      <c r="E996" s="182"/>
      <c r="F996" s="182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  <c r="AA996" s="181"/>
      <c r="AB996" s="181"/>
      <c r="AC996" s="181"/>
      <c r="AD996" s="181"/>
      <c r="AE996" s="181"/>
      <c r="AF996" s="181"/>
      <c r="AG996" s="181"/>
      <c r="AH996" s="181"/>
      <c r="AI996" s="181"/>
      <c r="AJ996" s="181"/>
      <c r="AK996" s="181"/>
      <c r="AL996" s="181"/>
      <c r="AM996" s="181"/>
      <c r="AN996" s="181"/>
      <c r="AO996" s="181"/>
      <c r="AP996" s="181"/>
      <c r="AQ996" s="181"/>
      <c r="AR996" s="181"/>
      <c r="AS996" s="181"/>
      <c r="AT996" s="181"/>
      <c r="AU996" s="181"/>
      <c r="AV996" s="181"/>
      <c r="AW996" s="181"/>
    </row>
    <row r="997" spans="1:49" ht="13.5" customHeight="1" x14ac:dyDescent="0.3">
      <c r="A997" s="1"/>
      <c r="B997" s="181"/>
      <c r="C997" s="181"/>
      <c r="D997" s="181"/>
      <c r="E997" s="182"/>
      <c r="F997" s="182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  <c r="AA997" s="181"/>
      <c r="AB997" s="181"/>
      <c r="AC997" s="181"/>
      <c r="AD997" s="181"/>
      <c r="AE997" s="181"/>
      <c r="AF997" s="181"/>
      <c r="AG997" s="181"/>
      <c r="AH997" s="181"/>
      <c r="AI997" s="181"/>
      <c r="AJ997" s="181"/>
      <c r="AK997" s="181"/>
      <c r="AL997" s="181"/>
      <c r="AM997" s="181"/>
      <c r="AN997" s="181"/>
      <c r="AO997" s="181"/>
      <c r="AP997" s="181"/>
      <c r="AQ997" s="181"/>
      <c r="AR997" s="181"/>
      <c r="AS997" s="181"/>
      <c r="AT997" s="181"/>
      <c r="AU997" s="181"/>
      <c r="AV997" s="181"/>
      <c r="AW997" s="181"/>
    </row>
    <row r="998" spans="1:49" ht="13.5" customHeight="1" x14ac:dyDescent="0.3">
      <c r="A998" s="1"/>
      <c r="B998" s="181"/>
      <c r="C998" s="181"/>
      <c r="D998" s="181"/>
      <c r="E998" s="182"/>
      <c r="F998" s="182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  <c r="AA998" s="181"/>
      <c r="AB998" s="181"/>
      <c r="AC998" s="181"/>
      <c r="AD998" s="181"/>
      <c r="AE998" s="181"/>
      <c r="AF998" s="181"/>
      <c r="AG998" s="181"/>
      <c r="AH998" s="181"/>
      <c r="AI998" s="181"/>
      <c r="AJ998" s="181"/>
      <c r="AK998" s="181"/>
      <c r="AL998" s="181"/>
      <c r="AM998" s="181"/>
      <c r="AN998" s="181"/>
      <c r="AO998" s="181"/>
      <c r="AP998" s="181"/>
      <c r="AQ998" s="181"/>
      <c r="AR998" s="181"/>
      <c r="AS998" s="181"/>
      <c r="AT998" s="181"/>
      <c r="AU998" s="181"/>
      <c r="AV998" s="181"/>
      <c r="AW998" s="181"/>
    </row>
    <row r="999" spans="1:49" ht="13.5" customHeight="1" x14ac:dyDescent="0.3">
      <c r="A999" s="1"/>
      <c r="B999" s="181"/>
      <c r="C999" s="181"/>
      <c r="D999" s="181"/>
      <c r="E999" s="182"/>
      <c r="F999" s="182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  <c r="AA999" s="181"/>
      <c r="AB999" s="181"/>
      <c r="AC999" s="181"/>
      <c r="AD999" s="181"/>
      <c r="AE999" s="181"/>
      <c r="AF999" s="181"/>
      <c r="AG999" s="181"/>
      <c r="AH999" s="181"/>
      <c r="AI999" s="181"/>
      <c r="AJ999" s="181"/>
      <c r="AK999" s="181"/>
      <c r="AL999" s="181"/>
      <c r="AM999" s="181"/>
      <c r="AN999" s="181"/>
      <c r="AO999" s="181"/>
      <c r="AP999" s="181"/>
      <c r="AQ999" s="181"/>
      <c r="AR999" s="181"/>
      <c r="AS999" s="181"/>
      <c r="AT999" s="181"/>
      <c r="AU999" s="181"/>
      <c r="AV999" s="181"/>
      <c r="AW999" s="181"/>
    </row>
    <row r="1000" spans="1:49" ht="13.5" customHeight="1" x14ac:dyDescent="0.3">
      <c r="A1000" s="1"/>
      <c r="B1000" s="181"/>
      <c r="C1000" s="181"/>
      <c r="D1000" s="181"/>
      <c r="E1000" s="182"/>
      <c r="F1000" s="182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  <c r="AA1000" s="181"/>
      <c r="AB1000" s="181"/>
      <c r="AC1000" s="181"/>
      <c r="AD1000" s="181"/>
      <c r="AE1000" s="181"/>
      <c r="AF1000" s="181"/>
      <c r="AG1000" s="181"/>
      <c r="AH1000" s="181"/>
      <c r="AI1000" s="181"/>
      <c r="AJ1000" s="181"/>
      <c r="AK1000" s="181"/>
      <c r="AL1000" s="181"/>
      <c r="AM1000" s="181"/>
      <c r="AN1000" s="181"/>
      <c r="AO1000" s="181"/>
      <c r="AP1000" s="181"/>
      <c r="AQ1000" s="181"/>
      <c r="AR1000" s="181"/>
      <c r="AS1000" s="181"/>
      <c r="AT1000" s="181"/>
      <c r="AU1000" s="181"/>
      <c r="AV1000" s="181"/>
      <c r="AW1000" s="181"/>
    </row>
  </sheetData>
  <mergeCells count="3">
    <mergeCell ref="B1:D1"/>
    <mergeCell ref="F1:AO1"/>
    <mergeCell ref="C57:E57"/>
  </mergeCells>
  <printOptions horizontalCentered="1"/>
  <pageMargins left="0.39370078740157483" right="0" top="0.39370078740157483" bottom="0.1968503937007874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BP Resumido _ Cenario- Terrible</vt:lpstr>
      <vt:lpstr>DADOS PRELIMINARES</vt:lpstr>
      <vt:lpstr>BP Resumido _ Cenario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Amaral</dc:creator>
  <cp:lastModifiedBy>Rodrigo Amaral</cp:lastModifiedBy>
  <dcterms:created xsi:type="dcterms:W3CDTF">2025-03-17T12:45:36Z</dcterms:created>
  <dcterms:modified xsi:type="dcterms:W3CDTF">2026-06-22T02:46:48Z</dcterms:modified>
</cp:coreProperties>
</file>